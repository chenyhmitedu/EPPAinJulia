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MIT Dropbox\Yen-Heng Chen\2026\2026-13_EPPAinJulia\EPPAinJulia\src\data\others\"/>
    </mc:Choice>
  </mc:AlternateContent>
  <xr:revisionPtr revIDLastSave="0" documentId="13_ncr:1_{0C441357-D271-4694-8406-2967F4EEAE60}" xr6:coauthVersionLast="47" xr6:coauthVersionMax="47" xr10:uidLastSave="{00000000-0000-0000-0000-000000000000}"/>
  <bookViews>
    <workbookView xWindow="-120" yWindow="-120" windowWidth="29040" windowHeight="15720" activeTab="2" xr2:uid="{69050F7B-07FD-47B9-AC7B-A9BBF237F6D0}"/>
  </bookViews>
  <sheets>
    <sheet name="parameters" sheetId="1" r:id="rId1"/>
    <sheet name="argdpgrrate" sheetId="2" r:id="rId2"/>
    <sheet name="popa_eppa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9" i="3" l="1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B7" i="1" l="1" a="1"/>
  <c r="B7" i="1" s="1"/>
  <c r="S7" i="1" l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</author>
  </authors>
  <commentList>
    <comment ref="A2" authorId="0" shapeId="0" xr:uid="{682DE5ED-2C28-472A-935E-DD78E3C266E1}">
      <text>
        <r>
          <rPr>
            <b/>
            <sz val="9"/>
            <color indexed="81"/>
            <rFont val="Tahoma"/>
            <family val="2"/>
          </rPr>
          <t>Henry:</t>
        </r>
        <r>
          <rPr>
            <sz val="9"/>
            <color indexed="81"/>
            <rFont val="Tahoma"/>
            <family val="2"/>
          </rPr>
          <t xml:space="preserve">
Share of transport usage of refined oil in household sector</t>
        </r>
      </text>
    </comment>
    <comment ref="A3" authorId="0" shapeId="0" xr:uid="{7D826E08-D24A-4E37-9F9E-9255066B6C69}">
      <text>
        <r>
          <rPr>
            <b/>
            <sz val="9"/>
            <color indexed="81"/>
            <rFont val="Tahoma"/>
            <family val="2"/>
          </rPr>
          <t>Henry:</t>
        </r>
        <r>
          <rPr>
            <sz val="9"/>
            <color indexed="81"/>
            <rFont val="Tahoma"/>
            <family val="2"/>
          </rPr>
          <t xml:space="preserve">
Own-supply expenditure share</t>
        </r>
      </text>
    </comment>
    <comment ref="A4" authorId="0" shapeId="0" xr:uid="{8725258A-A493-49B9-9BBD-1F3DE6167451}">
      <text>
        <r>
          <rPr>
            <b/>
            <sz val="9"/>
            <color indexed="81"/>
            <rFont val="Tahoma"/>
            <family val="2"/>
          </rPr>
          <t>Henry:</t>
        </r>
        <r>
          <rPr>
            <sz val="9"/>
            <color indexed="81"/>
            <rFont val="Tahoma"/>
            <family val="2"/>
          </rPr>
          <t xml:space="preserve">
Vehicle fleet rental value as an input to HH vehicle transportation. Also known as mvh in EPPA8</t>
        </r>
      </text>
    </comment>
    <comment ref="A5" authorId="0" shapeId="0" xr:uid="{0EB395D0-9897-40CE-BCC0-26DB4D45CDDB}">
      <text>
        <r>
          <rPr>
            <b/>
            <sz val="9"/>
            <color indexed="81"/>
            <rFont val="Tahoma"/>
            <family val="2"/>
          </rPr>
          <t>Henry:</t>
        </r>
        <r>
          <rPr>
            <sz val="9"/>
            <color indexed="81"/>
            <rFont val="Tahoma"/>
            <family val="2"/>
          </rPr>
          <t xml:space="preserve">
New vehicle shares. Data source: See D:\Dropbox (MIT)\work\Projects\Sergey-John-2017-02-Outlook 2017\hhtran-new\hhtran-new-20170404.xlsx
Orignal data source: Table 10.5 and 10.6 in EPA (2016): https://nepis.epa.gov/Exe/ZyPDF.cgi/P100OXEO.PDF?Dockey=P100OXEO.PDF</t>
        </r>
      </text>
    </comment>
    <comment ref="A6" authorId="0" shapeId="0" xr:uid="{A4469025-1407-40B9-A5AC-E1FF81B37B5E}">
      <text>
        <r>
          <rPr>
            <b/>
            <sz val="9"/>
            <color indexed="81"/>
            <rFont val="Tahoma"/>
            <family val="2"/>
          </rPr>
          <t>Henry:</t>
        </r>
        <r>
          <rPr>
            <sz val="9"/>
            <color indexed="81"/>
            <rFont val="Tahoma"/>
            <family val="2"/>
          </rPr>
          <t xml:space="preserve">
Fraction of vehicle capital expenditures devoted to propulsion system (the number is from EPPA5-Outlook)</t>
        </r>
      </text>
    </comment>
    <comment ref="A7" authorId="0" shapeId="0" xr:uid="{B0B4B22E-9D5C-4DB0-8E5E-0166337DB44E}">
      <text>
        <r>
          <rPr>
            <b/>
            <sz val="9"/>
            <color indexed="81"/>
            <rFont val="Tahoma"/>
            <family val="2"/>
          </rPr>
          <t>Henry:</t>
        </r>
        <r>
          <rPr>
            <sz val="9"/>
            <color indexed="81"/>
            <rFont val="Tahoma"/>
            <family val="2"/>
          </rPr>
          <t xml:space="preserve">
Commercial biofuels in the base year (EJ)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</author>
  </authors>
  <commentList>
    <comment ref="A2" authorId="0" shapeId="0" xr:uid="{BC41645A-5F2E-44CD-BB76-C8FFB1A50469}">
      <text>
        <r>
          <rPr>
            <b/>
            <sz val="9"/>
            <color indexed="81"/>
            <rFont val="Tahoma"/>
            <family val="2"/>
          </rPr>
          <t>Henry:</t>
        </r>
        <r>
          <rPr>
            <sz val="9"/>
            <color indexed="81"/>
            <rFont val="Tahoma"/>
            <family val="2"/>
          </rPr>
          <t xml:space="preserve">
EPPA8 2025 numbers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</author>
  </authors>
  <commentList>
    <comment ref="A2" authorId="0" shapeId="0" xr:uid="{0F9F547E-159C-41FB-B7A8-11BF454DDC00}">
      <text>
        <r>
          <rPr>
            <b/>
            <sz val="9"/>
            <color indexed="81"/>
            <rFont val="Tahoma"/>
            <family val="2"/>
          </rPr>
          <t>Henry:</t>
        </r>
        <r>
          <rPr>
            <sz val="9"/>
            <color indexed="81"/>
            <rFont val="Tahoma"/>
            <family val="2"/>
          </rPr>
          <t xml:space="preserve">
EPPA 8 2020-2025 interpolation</t>
        </r>
      </text>
    </comment>
  </commentList>
</comments>
</file>

<file path=xl/sharedStrings.xml><?xml version="1.0" encoding="utf-8"?>
<sst xmlns="http://schemas.openxmlformats.org/spreadsheetml/2006/main" count="63" uniqueCount="26">
  <si>
    <t>USA</t>
  </si>
  <si>
    <t>CAN</t>
  </si>
  <si>
    <t>MEX</t>
  </si>
  <si>
    <t>JPN</t>
  </si>
  <si>
    <t>ANZ</t>
  </si>
  <si>
    <t>EUR</t>
  </si>
  <si>
    <t>ROE</t>
  </si>
  <si>
    <t>RUS</t>
  </si>
  <si>
    <t>ASI</t>
  </si>
  <si>
    <t>CHN</t>
  </si>
  <si>
    <t>IND</t>
  </si>
  <si>
    <t>BRA</t>
  </si>
  <si>
    <t>AFR</t>
  </si>
  <si>
    <t>MES</t>
  </si>
  <si>
    <t>LAM</t>
  </si>
  <si>
    <t>REA</t>
  </si>
  <si>
    <t>KOR</t>
  </si>
  <si>
    <t>IDZ</t>
  </si>
  <si>
    <t>os</t>
  </si>
  <si>
    <t>es</t>
  </si>
  <si>
    <t>toi</t>
  </si>
  <si>
    <t>htrns</t>
  </si>
  <si>
    <t>propfrac</t>
  </si>
  <si>
    <t>parameter</t>
  </si>
  <si>
    <t>bio_baseyear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</si>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</sst>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satellite0.xlsx" TargetMode="External"/><Relationship Id="rId2" Type="http://schemas.openxmlformats.org/officeDocument/2006/relationships/externalLinkPath" Target="file:///D:\work\MIT%20Dropbox\Yen-Heng%20Chen\2026\2026-13_EPPAinJulia\satellite0.xlsx" TargetMode="External"/><Relationship Id="rId1" Type="http://schemas.openxmlformats.org/officeDocument/2006/relationships/externalLinkPath" Target="/work/MIT%20Dropbox/Yen-Heng%20Chen/2026/2026-13_EPPAinJulia/satellite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eppaback_bcin"/>
      <sheetName val="eppaback_bcin_latam"/>
      <sheetName val="eppaback_bsf"/>
      <sheetName val="eppaback_bsin0"/>
      <sheetName val="eppaback_rshale_etc"/>
      <sheetName val="eppaback_bsout0"/>
      <sheetName val="eppaback_ceff"/>
      <sheetName val="eppaback_ejpereuse"/>
      <sheetName val="eppaback_elec10_8"/>
      <sheetName val="eppaback_odt_ha"/>
      <sheetName val="efficiency"/>
      <sheetName val="eppaback_eff_adj"/>
      <sheetName val="eppaback_biofgcostshr"/>
      <sheetName val="elecpower_nhreta"/>
      <sheetName val="elecpower_wstsigma"/>
      <sheetName val="readgtap_bio"/>
      <sheetName val="readgtap_co2f_iea"/>
      <sheetName val="readgtap_ej_use_iea"/>
      <sheetName val="readgtap_eprod_iea"/>
      <sheetName val="readgtap_histgen_t"/>
      <sheetName val="readgtap_tsout_t"/>
      <sheetName val="eppaelas_d_elas"/>
      <sheetName val="eppaelas_elasadj"/>
      <sheetName val="eppaelas_esube"/>
      <sheetName val="eppaelas_esup"/>
      <sheetName val="eppaelas_price07_e4"/>
      <sheetName val="eppaelas_selas"/>
      <sheetName val="eppaelas_sigg"/>
      <sheetName val="eppaelas_siggv"/>
      <sheetName val="eppaelas_sigu"/>
      <sheetName val="eppaelas_vdfmplusvifm"/>
      <sheetName val="eppaelas_usda"/>
      <sheetName val="eppaelas_elas_t"/>
      <sheetName val="eppaghg_cemco20"/>
      <sheetName val="eppaghg_defco20"/>
      <sheetName val="eppaghg_oghg0_BOC"/>
      <sheetName val="eppaghg_cghg00_BOC"/>
      <sheetName val="eppatrend_aeeigr"/>
      <sheetName val="eppatrend_argdpgrrate"/>
      <sheetName val="eppatrend_bioff"/>
      <sheetName val="eppatrend_biofgsub_t"/>
      <sheetName val="eppatrend_eid_ghg_up_t"/>
      <sheetName val="eppatrend_eid_ghg_lo_t"/>
      <sheetName val="eppatrend_a_up_t"/>
      <sheetName val="eppatrend_a_lo_t"/>
      <sheetName val="eppatrend_iea"/>
      <sheetName val="eppatrend_eppa_pre"/>
      <sheetName val="eppatrend_ieae"/>
      <sheetName val="eppatrend_eppae_pre"/>
      <sheetName val="eppatrend_tradbioenergy"/>
      <sheetName val="eppatrend_emkup_tar"/>
      <sheetName val="eppatrend_fadjt"/>
      <sheetName val="eppatrend_gasres04"/>
      <sheetName val="GDP (2015 constant USD)"/>
      <sheetName val="eppatrend_histrgdp"/>
      <sheetName val="eppatrend_h_r_trend"/>
      <sheetName val="eppatrend_r_r_trend"/>
      <sheetName val="eppatrend_n_r_trend"/>
      <sheetName val="eppatrend_lprod_f_t"/>
      <sheetName val="eppatrend_nmkup"/>
      <sheetName val="eppatrend_radjt"/>
      <sheetName val="eppatrend_rates"/>
      <sheetName val="eppatrend_res950"/>
      <sheetName val="eppatrend_rsize_t"/>
      <sheetName val="eppatrend_popa_eppa"/>
      <sheetName val="eppatrend_ghg_adj"/>
      <sheetName val="eppatrend_urb_adj"/>
      <sheetName val="eppa_htrn_a_evtrn"/>
      <sheetName val="eppa_htrn_es"/>
      <sheetName val="eppa_htrn_hhtraninc"/>
      <sheetName val="mvh"/>
      <sheetName val="eppa_htrn_mvh"/>
      <sheetName val="eppa_htrn_os"/>
      <sheetName val="eppa_htrn_vehstk0"/>
      <sheetName val="eppa_htrn_vehstkbev0"/>
      <sheetName val="eppa_htrn_vfe"/>
      <sheetName val="eppa_htrn_vmt0"/>
      <sheetName val="eppa_htrn_qpf_htrn_t"/>
      <sheetName val="eppa_htrn_htrnown_t_solve"/>
      <sheetName val="eppa_htrn_m_totalicestk_initial"/>
      <sheetName val="eppa_htrn_m_totalvehstk_initial"/>
      <sheetName val="eppa_htrn_totalevstk_lo_t"/>
      <sheetName val="eppa_htrn_totalicestk_up_t"/>
      <sheetName val="eppa_htrn_share_ev_hist"/>
      <sheetName val="eppa_htrn_share_ev_lower"/>
      <sheetName val="eppa_htrn_bbres_evtrn"/>
      <sheetName val="cem_def_cem_ref_e5"/>
      <sheetName val="cem_def_def_ref_e6"/>
      <sheetName val="cem_def_cem_pol_e5"/>
      <sheetName val="cem_def_def_pol_e5"/>
      <sheetName val="ghg_trend_ch4_agri"/>
      <sheetName val="ghg_trend_ch4_eint"/>
      <sheetName val="ghg_trend_ch4_othr"/>
      <sheetName val="ghg_trend_ch4_fd"/>
      <sheetName val="ghg_trend_n2o_agri"/>
      <sheetName val="ghg_trend_n2o_eint"/>
      <sheetName val="ghg_trend_n2o_allother"/>
      <sheetName val="ghg_trend_pfc_eint"/>
      <sheetName val="ghg_trend_pfc_othr"/>
      <sheetName val="ghg_trend_hfc_othr"/>
      <sheetName val="ghg_trend_sf6_eint"/>
      <sheetName val="ghg_trend_sf6_elec"/>
      <sheetName val="ghg_trend_sf6_othr"/>
      <sheetName val="ghg_trend_chmco2_e5_tchm_"/>
      <sheetName val="ghg_trend_chmghg_e5_tchm_"/>
      <sheetName val="ghg_trend_chmurb_e5_tchm_"/>
      <sheetName val="hist_emissions_rep"/>
      <sheetName val="eppacalib_crtable"/>
      <sheetName val="eppacalib_ncuse"/>
      <sheetName val="eppaluc_Area_GTAP"/>
      <sheetName val="eppaluc_VFM_GTAP"/>
      <sheetName val="eppaluc_VFM_GTAP10"/>
      <sheetName val="eppaluc_Pland"/>
      <sheetName val="eppaluc_land_tem"/>
      <sheetName val="eppaluc_land_tem_"/>
      <sheetName val="eppaluc_land_tem_t"/>
      <sheetName val="eppaluc_land_fao_t"/>
      <sheetName val="eppaluc_land_fao_t_"/>
      <sheetName val="eppaluc_nat_tran"/>
      <sheetName val="eppaluc_benchdef"/>
      <sheetName val="eppaluc_soil_veg_carb"/>
      <sheetName val="eppaluc_soil_carb"/>
      <sheetName val="eppaluc_h_luc"/>
      <sheetName val="eppaluc_EPPA7_phm"/>
      <sheetName val="eppaluc_adj_bio"/>
      <sheetName val="eppaluc_yield_tgt"/>
      <sheetName val="eppaluc_biofg_tgt_mkp"/>
      <sheetName val="eppaluc_bioccsmk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A256-0898-4614-90C4-8024E75C5158}">
  <dimension ref="A1:S7"/>
  <sheetViews>
    <sheetView workbookViewId="0">
      <selection activeCell="B1" sqref="B1:S1"/>
    </sheetView>
  </sheetViews>
  <sheetFormatPr defaultRowHeight="15" x14ac:dyDescent="0.25"/>
  <cols>
    <col min="1" max="16384" width="9.140625" style="3"/>
  </cols>
  <sheetData>
    <row r="1" spans="1:19" x14ac:dyDescent="0.25">
      <c r="A1" s="3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3" t="s">
        <v>18</v>
      </c>
      <c r="B2" s="2">
        <v>0.98799999999999999</v>
      </c>
      <c r="C2" s="2">
        <v>0.92</v>
      </c>
      <c r="D2" s="2">
        <v>0.86199999999999999</v>
      </c>
      <c r="E2" s="2">
        <v>0.83</v>
      </c>
      <c r="F2" s="2">
        <v>0.99199999999999999</v>
      </c>
      <c r="G2" s="2">
        <v>0.86</v>
      </c>
      <c r="H2" s="2">
        <v>0.38800000000000001</v>
      </c>
      <c r="I2" s="2">
        <v>0.99</v>
      </c>
      <c r="J2" s="2">
        <v>0.85</v>
      </c>
      <c r="K2" s="2">
        <v>0.85</v>
      </c>
      <c r="L2" s="2">
        <v>0.45</v>
      </c>
      <c r="M2" s="2">
        <v>0.9</v>
      </c>
      <c r="N2" s="2">
        <v>0.875</v>
      </c>
      <c r="O2" s="2">
        <v>0.32</v>
      </c>
      <c r="P2" s="2">
        <v>0.85399999999999998</v>
      </c>
      <c r="Q2" s="2">
        <v>0.44</v>
      </c>
      <c r="R2" s="2">
        <v>0.8</v>
      </c>
      <c r="S2" s="2">
        <v>0.45</v>
      </c>
    </row>
    <row r="3" spans="1:19" x14ac:dyDescent="0.25">
      <c r="A3" s="3" t="s">
        <v>19</v>
      </c>
      <c r="B3" s="3">
        <v>0.1</v>
      </c>
      <c r="C3" s="3">
        <v>0.13</v>
      </c>
      <c r="D3" s="3">
        <v>7.0000000000000007E-2</v>
      </c>
      <c r="E3" s="3">
        <v>7.0000000000000007E-2</v>
      </c>
      <c r="F3" s="3">
        <v>0.1</v>
      </c>
      <c r="G3" s="3">
        <v>0.13</v>
      </c>
      <c r="H3" s="3">
        <v>0.09</v>
      </c>
      <c r="I3" s="3">
        <v>0.09</v>
      </c>
      <c r="J3" s="3">
        <v>7.0000000000000007E-2</v>
      </c>
      <c r="K3" s="3">
        <v>0.04</v>
      </c>
      <c r="L3" s="3">
        <v>0.08</v>
      </c>
      <c r="M3" s="3">
        <v>0.09</v>
      </c>
      <c r="N3" s="3">
        <v>0.1</v>
      </c>
      <c r="O3" s="3">
        <v>0.05</v>
      </c>
      <c r="P3" s="3">
        <v>0.06</v>
      </c>
      <c r="Q3" s="3">
        <v>0.06</v>
      </c>
      <c r="R3" s="3">
        <v>7.0000000000000007E-2</v>
      </c>
      <c r="S3" s="3">
        <v>7.0000000000000007E-2</v>
      </c>
    </row>
    <row r="4" spans="1:19" x14ac:dyDescent="0.25">
      <c r="A4" s="3" t="s">
        <v>20</v>
      </c>
      <c r="B4" s="3">
        <v>23.47</v>
      </c>
      <c r="C4" s="3">
        <v>3.7</v>
      </c>
      <c r="D4" s="3">
        <v>2.2200000000000002</v>
      </c>
      <c r="E4" s="3">
        <v>4.45</v>
      </c>
      <c r="F4" s="3">
        <v>1.93</v>
      </c>
      <c r="G4" s="3">
        <v>28.2</v>
      </c>
      <c r="H4" s="3">
        <v>1.4</v>
      </c>
      <c r="I4" s="3">
        <v>2.4700000000000002</v>
      </c>
      <c r="J4" s="3">
        <v>2.75</v>
      </c>
      <c r="K4" s="3">
        <v>6.62</v>
      </c>
      <c r="L4" s="3">
        <v>2.83</v>
      </c>
      <c r="M4" s="3">
        <v>2.76</v>
      </c>
      <c r="N4" s="3">
        <v>2.09</v>
      </c>
      <c r="O4" s="3">
        <v>2.93</v>
      </c>
      <c r="P4" s="3">
        <v>2.77</v>
      </c>
      <c r="Q4" s="3">
        <v>0.9</v>
      </c>
      <c r="R4" s="3">
        <v>2.0499999999999998</v>
      </c>
      <c r="S4" s="3">
        <v>0.71</v>
      </c>
    </row>
    <row r="5" spans="1:19" x14ac:dyDescent="0.25">
      <c r="A5" s="3" t="s">
        <v>21</v>
      </c>
      <c r="B5" s="3">
        <v>0.38</v>
      </c>
      <c r="C5" s="3">
        <v>0.38</v>
      </c>
      <c r="D5" s="3">
        <v>0.38</v>
      </c>
      <c r="E5" s="3">
        <v>0.38</v>
      </c>
      <c r="F5" s="3">
        <v>0.38</v>
      </c>
      <c r="G5" s="3">
        <v>0.38</v>
      </c>
      <c r="H5" s="3">
        <v>0.38</v>
      </c>
      <c r="I5" s="3">
        <v>0.38</v>
      </c>
      <c r="J5" s="3">
        <v>0.38</v>
      </c>
      <c r="K5" s="3">
        <v>0.38</v>
      </c>
      <c r="L5" s="3">
        <v>0.38</v>
      </c>
      <c r="M5" s="3">
        <v>0.38</v>
      </c>
      <c r="N5" s="3">
        <v>0.38</v>
      </c>
      <c r="O5" s="3">
        <v>0.38</v>
      </c>
      <c r="P5" s="3">
        <v>0.38</v>
      </c>
      <c r="Q5" s="3">
        <v>0.38</v>
      </c>
      <c r="R5" s="3">
        <v>0.38</v>
      </c>
      <c r="S5" s="3">
        <v>0.38</v>
      </c>
    </row>
    <row r="6" spans="1:19" x14ac:dyDescent="0.25">
      <c r="A6" s="3" t="s">
        <v>22</v>
      </c>
      <c r="B6" s="3">
        <v>0.2</v>
      </c>
      <c r="C6" s="3">
        <v>0.2</v>
      </c>
      <c r="D6" s="3">
        <v>0.2</v>
      </c>
      <c r="E6" s="3">
        <v>0.2</v>
      </c>
      <c r="F6" s="3">
        <v>0.2</v>
      </c>
      <c r="G6" s="3">
        <v>0.2</v>
      </c>
      <c r="H6" s="3">
        <v>0.2</v>
      </c>
      <c r="I6" s="3">
        <v>0.2</v>
      </c>
      <c r="J6" s="3">
        <v>0.2</v>
      </c>
      <c r="K6" s="3">
        <v>0.2</v>
      </c>
      <c r="L6" s="3">
        <v>0.2</v>
      </c>
      <c r="M6" s="3">
        <v>0.2</v>
      </c>
      <c r="N6" s="3">
        <v>0.2</v>
      </c>
      <c r="O6" s="3">
        <v>0.2</v>
      </c>
      <c r="P6" s="3">
        <v>0.2</v>
      </c>
      <c r="Q6" s="3">
        <v>0.2</v>
      </c>
      <c r="R6" s="3">
        <v>0.2</v>
      </c>
      <c r="S6" s="3">
        <v>0.2</v>
      </c>
    </row>
    <row r="7" spans="1:19" x14ac:dyDescent="0.25">
      <c r="A7" s="3" t="s">
        <v>24</v>
      </c>
      <c r="B7" s="3">
        <f t="array" ref="B7:S7">TRANSPOSE([1]readgtap_bio!$C$28:$C$45)</f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1F6A-FA2C-4A28-888D-BCDFC50C8C79}">
  <dimension ref="A1:S18"/>
  <sheetViews>
    <sheetView workbookViewId="0"/>
  </sheetViews>
  <sheetFormatPr defaultRowHeight="15" x14ac:dyDescent="0.25"/>
  <sheetData>
    <row r="1" spans="1:19" x14ac:dyDescent="0.25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2023</v>
      </c>
      <c r="B2" s="4">
        <v>2.3682265429612447E-2</v>
      </c>
      <c r="C2" s="4">
        <v>2.9724594735724114E-2</v>
      </c>
      <c r="D2" s="4">
        <v>0.02</v>
      </c>
      <c r="E2" s="4">
        <v>8.3413431830521908E-3</v>
      </c>
      <c r="F2" s="4">
        <v>2.8081103542524063E-2</v>
      </c>
      <c r="G2" s="4">
        <v>1.6708505942786653E-2</v>
      </c>
      <c r="H2" s="4">
        <v>2.4E-2</v>
      </c>
      <c r="I2" s="4">
        <v>1.1000000000000001E-2</v>
      </c>
      <c r="J2" s="4">
        <v>3.7999999999999999E-2</v>
      </c>
      <c r="K2" s="4">
        <v>4.2736599245274516E-2</v>
      </c>
      <c r="L2" s="4">
        <v>6.4000000000000001E-2</v>
      </c>
      <c r="M2" s="4">
        <v>3.3917385064212879E-2</v>
      </c>
      <c r="N2" s="4">
        <v>4.9679066361608099E-2</v>
      </c>
      <c r="O2" s="4">
        <v>4.3314692360027246E-2</v>
      </c>
      <c r="P2" s="4">
        <v>2.6000000000000002E-2</v>
      </c>
      <c r="Q2" s="4">
        <v>4.7E-2</v>
      </c>
      <c r="R2" s="4">
        <v>1.9E-2</v>
      </c>
      <c r="S2" s="4">
        <v>4.9000000000000002E-2</v>
      </c>
    </row>
    <row r="3" spans="1:19" x14ac:dyDescent="0.25">
      <c r="A3">
        <v>2025</v>
      </c>
      <c r="B3" s="4">
        <v>2.3682265429612447E-2</v>
      </c>
      <c r="C3" s="4">
        <v>2.9724594735724114E-2</v>
      </c>
      <c r="D3" s="4">
        <v>0.02</v>
      </c>
      <c r="E3" s="4">
        <v>8.3413431830521908E-3</v>
      </c>
      <c r="F3" s="4">
        <v>2.8081103542524063E-2</v>
      </c>
      <c r="G3" s="4">
        <v>1.6708505942786653E-2</v>
      </c>
      <c r="H3" s="4">
        <v>2.4E-2</v>
      </c>
      <c r="I3" s="4">
        <v>1.1000000000000001E-2</v>
      </c>
      <c r="J3" s="4">
        <v>3.7999999999999999E-2</v>
      </c>
      <c r="K3" s="4">
        <v>4.2736599245274516E-2</v>
      </c>
      <c r="L3" s="4">
        <v>6.4000000000000001E-2</v>
      </c>
      <c r="M3" s="4">
        <v>3.3917385064212879E-2</v>
      </c>
      <c r="N3" s="4">
        <v>4.9679066361608099E-2</v>
      </c>
      <c r="O3" s="4">
        <v>4.3314692360027246E-2</v>
      </c>
      <c r="P3" s="4">
        <v>2.6000000000000002E-2</v>
      </c>
      <c r="Q3" s="4">
        <v>4.7E-2</v>
      </c>
      <c r="R3" s="4">
        <v>1.9E-2</v>
      </c>
      <c r="S3" s="4">
        <v>4.9000000000000002E-2</v>
      </c>
    </row>
    <row r="4" spans="1:19" x14ac:dyDescent="0.25">
      <c r="A4">
        <v>2030</v>
      </c>
      <c r="B4" s="4">
        <v>2.0608795827267226E-2</v>
      </c>
      <c r="C4" s="4">
        <v>2.7510990293483618E-2</v>
      </c>
      <c r="D4" s="4">
        <v>0.03</v>
      </c>
      <c r="E4" s="4">
        <v>9.4845114524750897E-3</v>
      </c>
      <c r="F4" s="4">
        <v>2.5979350195200101E-2</v>
      </c>
      <c r="G4" s="4">
        <v>1.4999999999999999E-2</v>
      </c>
      <c r="H4" s="4">
        <v>0.03</v>
      </c>
      <c r="I4" s="4">
        <v>1.4999999999999999E-2</v>
      </c>
      <c r="J4" s="4">
        <v>3.26109697562438E-2</v>
      </c>
      <c r="K4" s="4">
        <v>3.7343184569484704E-2</v>
      </c>
      <c r="L4" s="4">
        <v>6.0863187303229704E-2</v>
      </c>
      <c r="M4" s="4">
        <v>0.03</v>
      </c>
      <c r="N4" s="4">
        <v>4.4633874432133493E-2</v>
      </c>
      <c r="O4" s="4">
        <v>3.5000000000000003E-2</v>
      </c>
      <c r="P4" s="4">
        <v>0.03</v>
      </c>
      <c r="Q4" s="4">
        <v>4.5719586847235504E-2</v>
      </c>
      <c r="R4" s="4">
        <v>0.03</v>
      </c>
      <c r="S4" s="4">
        <v>3.8239446543394201E-2</v>
      </c>
    </row>
    <row r="5" spans="1:19" x14ac:dyDescent="0.25">
      <c r="A5">
        <v>2035</v>
      </c>
      <c r="B5" s="4">
        <v>0.02</v>
      </c>
      <c r="C5" s="4">
        <v>2.5956333331896939E-2</v>
      </c>
      <c r="D5" s="4">
        <v>0.03</v>
      </c>
      <c r="E5" s="4">
        <v>1.29476787375846E-2</v>
      </c>
      <c r="F5" s="4">
        <v>2.6876120730655005E-2</v>
      </c>
      <c r="G5" s="4">
        <v>1.4999999999999999E-2</v>
      </c>
      <c r="H5" s="4">
        <v>0.03</v>
      </c>
      <c r="I5" s="4">
        <v>1.4999999999999999E-2</v>
      </c>
      <c r="J5" s="4">
        <v>2.7999999999999997E-2</v>
      </c>
      <c r="K5" s="4">
        <v>3.5000000000000003E-2</v>
      </c>
      <c r="L5" s="4">
        <v>4.61364889804496E-2</v>
      </c>
      <c r="M5" s="4">
        <v>0.03</v>
      </c>
      <c r="N5" s="4">
        <v>4.3672308246444101E-2</v>
      </c>
      <c r="O5" s="4">
        <v>3.5000000000000003E-2</v>
      </c>
      <c r="P5" s="4">
        <v>0.03</v>
      </c>
      <c r="Q5" s="4">
        <v>4.2990503642884599E-2</v>
      </c>
      <c r="R5" s="4">
        <v>2.64219295015415E-2</v>
      </c>
      <c r="S5" s="4">
        <v>3.4828339237705598E-2</v>
      </c>
    </row>
    <row r="6" spans="1:19" x14ac:dyDescent="0.25">
      <c r="A6">
        <v>2040</v>
      </c>
      <c r="B6" s="4">
        <v>1.8910629847405217E-2</v>
      </c>
      <c r="C6" s="4">
        <v>2.5000375615744971E-2</v>
      </c>
      <c r="D6" s="4">
        <v>0.03</v>
      </c>
      <c r="E6" s="4">
        <v>1.2931432835156201E-2</v>
      </c>
      <c r="F6" s="4">
        <v>2.5042758693412298E-2</v>
      </c>
      <c r="G6" s="4">
        <v>1.4999999999999999E-2</v>
      </c>
      <c r="H6" s="4">
        <v>0.03</v>
      </c>
      <c r="I6" s="4">
        <v>1.5459536579742502E-2</v>
      </c>
      <c r="J6" s="4">
        <v>2.7000000000000003E-2</v>
      </c>
      <c r="K6" s="4">
        <v>3.3000000000000002E-2</v>
      </c>
      <c r="L6" s="4">
        <v>4.6094113855748707E-2</v>
      </c>
      <c r="M6" s="4">
        <v>0.03</v>
      </c>
      <c r="N6" s="4">
        <v>4.2091398503262899E-2</v>
      </c>
      <c r="O6" s="4">
        <v>3.5000000000000003E-2</v>
      </c>
      <c r="P6" s="4">
        <v>0.03</v>
      </c>
      <c r="Q6" s="4">
        <v>4.0266024272180595E-2</v>
      </c>
      <c r="R6" s="4">
        <v>2.183054613507308E-2</v>
      </c>
      <c r="S6" s="4">
        <v>3.0728174747786802E-2</v>
      </c>
    </row>
    <row r="7" spans="1:19" x14ac:dyDescent="0.25">
      <c r="A7">
        <v>2045</v>
      </c>
      <c r="B7" s="4">
        <v>1.8369966763721896E-2</v>
      </c>
      <c r="C7" s="4">
        <v>6.7999999999999996E-3</v>
      </c>
      <c r="D7" s="4">
        <v>2.8485485056409257E-2</v>
      </c>
      <c r="E7" s="4">
        <v>1.1429975180917535E-2</v>
      </c>
      <c r="F7" s="4">
        <v>2.5209405630471901E-2</v>
      </c>
      <c r="G7" s="4">
        <v>1.3448011250824428E-2</v>
      </c>
      <c r="H7" s="4">
        <v>0.03</v>
      </c>
      <c r="I7" s="4">
        <v>1.51758808751725E-2</v>
      </c>
      <c r="J7" s="4">
        <v>2.427974321313258E-2</v>
      </c>
      <c r="K7" s="4">
        <v>2.667658516012044E-2</v>
      </c>
      <c r="L7" s="4">
        <v>3.8875518853010299E-2</v>
      </c>
      <c r="M7" s="4">
        <v>2.6301070769493645E-2</v>
      </c>
      <c r="N7" s="4">
        <v>3.8774451980654358E-2</v>
      </c>
      <c r="O7" s="4">
        <v>3.1919691952427887E-2</v>
      </c>
      <c r="P7" s="4">
        <v>2.9104582822257644E-2</v>
      </c>
      <c r="Q7" s="4">
        <v>3.5274891320482601E-2</v>
      </c>
      <c r="R7" s="4">
        <v>2.2427838979225463E-2</v>
      </c>
      <c r="S7" s="4">
        <v>2.7034463919881402E-2</v>
      </c>
    </row>
    <row r="8" spans="1:19" x14ac:dyDescent="0.25">
      <c r="A8">
        <v>2050</v>
      </c>
      <c r="B8" s="4">
        <v>1.7932586602680899E-2</v>
      </c>
      <c r="C8" s="4">
        <v>1.9678405818512896E-2</v>
      </c>
      <c r="D8" s="4">
        <v>2.7807259221732845E-2</v>
      </c>
      <c r="E8" s="4">
        <v>1.1157832914705212E-2</v>
      </c>
      <c r="F8" s="4">
        <v>2.4609181686889237E-2</v>
      </c>
      <c r="G8" s="4">
        <v>1.312782050675718E-2</v>
      </c>
      <c r="H8" s="4">
        <v>2.9285714285714283E-2</v>
      </c>
      <c r="I8" s="4">
        <v>1.4814550378144583E-2</v>
      </c>
      <c r="J8" s="4">
        <v>2.3701654089010375E-2</v>
      </c>
      <c r="K8" s="4">
        <v>2.6041428370593762E-2</v>
      </c>
      <c r="L8" s="4">
        <v>3.7949911261271958E-2</v>
      </c>
      <c r="M8" s="4">
        <v>2.5674854798791415E-2</v>
      </c>
      <c r="N8" s="4">
        <v>3.7851250743019732E-2</v>
      </c>
      <c r="O8" s="4">
        <v>3.115969928689389E-2</v>
      </c>
      <c r="P8" s="4">
        <v>2.8411616564584845E-2</v>
      </c>
      <c r="Q8" s="4">
        <v>3.4435012955709207E-2</v>
      </c>
      <c r="R8" s="4">
        <v>2.1893842813053427E-2</v>
      </c>
      <c r="S8" s="4">
        <v>2.6390786207503274E-2</v>
      </c>
    </row>
    <row r="9" spans="1:19" x14ac:dyDescent="0.25">
      <c r="A9">
        <v>2055</v>
      </c>
      <c r="B9" s="4">
        <v>1.7495206441639901E-2</v>
      </c>
      <c r="C9" s="4">
        <v>1.7800581048343835E-2</v>
      </c>
      <c r="D9" s="4">
        <v>2.7129033387056432E-2</v>
      </c>
      <c r="E9" s="4">
        <v>1.088569064849289E-2</v>
      </c>
      <c r="F9" s="4">
        <v>2.4008957743306573E-2</v>
      </c>
      <c r="G9" s="4">
        <v>1.2807629762689931E-2</v>
      </c>
      <c r="H9" s="4">
        <v>2.8571428571428567E-2</v>
      </c>
      <c r="I9" s="4">
        <v>1.4453219881116666E-2</v>
      </c>
      <c r="J9" s="4">
        <v>2.3123564964888169E-2</v>
      </c>
      <c r="K9" s="4">
        <v>2.5406271581067084E-2</v>
      </c>
      <c r="L9" s="4">
        <v>3.7024303669533618E-2</v>
      </c>
      <c r="M9" s="4">
        <v>2.5048638828089186E-2</v>
      </c>
      <c r="N9" s="4">
        <v>3.6928049505385106E-2</v>
      </c>
      <c r="O9" s="4">
        <v>3.0399706621359893E-2</v>
      </c>
      <c r="P9" s="4">
        <v>2.7718650306912045E-2</v>
      </c>
      <c r="Q9" s="4">
        <v>3.3595134590935813E-2</v>
      </c>
      <c r="R9" s="4">
        <v>2.1359846646881391E-2</v>
      </c>
      <c r="S9" s="4">
        <v>2.5747108495125147E-2</v>
      </c>
    </row>
    <row r="10" spans="1:19" x14ac:dyDescent="0.25">
      <c r="A10">
        <v>2060</v>
      </c>
      <c r="B10" s="4">
        <v>1.7057826280598903E-2</v>
      </c>
      <c r="C10" s="4">
        <v>1.6057214063759345E-2</v>
      </c>
      <c r="D10" s="4">
        <v>2.645080755238002E-2</v>
      </c>
      <c r="E10" s="4">
        <v>1.0613548382280567E-2</v>
      </c>
      <c r="F10" s="4">
        <v>2.340873379972391E-2</v>
      </c>
      <c r="G10" s="4">
        <v>1.2487439018622683E-2</v>
      </c>
      <c r="H10" s="4">
        <v>2.7857142857142851E-2</v>
      </c>
      <c r="I10" s="4">
        <v>1.4091889384088748E-2</v>
      </c>
      <c r="J10" s="4">
        <v>2.2545475840765963E-2</v>
      </c>
      <c r="K10" s="4">
        <v>2.4771114791540406E-2</v>
      </c>
      <c r="L10" s="4">
        <v>3.6098696077795277E-2</v>
      </c>
      <c r="M10" s="4">
        <v>2.4422422857386956E-2</v>
      </c>
      <c r="N10" s="4">
        <v>3.6004848267750481E-2</v>
      </c>
      <c r="O10" s="4">
        <v>2.9639713955825896E-2</v>
      </c>
      <c r="P10" s="4">
        <v>2.7025684049239246E-2</v>
      </c>
      <c r="Q10" s="4">
        <v>3.2755256226162419E-2</v>
      </c>
      <c r="R10" s="4">
        <v>2.0825850480709354E-2</v>
      </c>
      <c r="S10" s="4">
        <v>2.5103430782747019E-2</v>
      </c>
    </row>
    <row r="11" spans="1:19" x14ac:dyDescent="0.25">
      <c r="A11">
        <v>2065</v>
      </c>
      <c r="B11" s="4">
        <v>1.6620446119557906E-2</v>
      </c>
      <c r="C11" s="4">
        <v>1.7414825168802946E-2</v>
      </c>
      <c r="D11" s="4">
        <v>2.5772581717703608E-2</v>
      </c>
      <c r="E11" s="4">
        <v>1.0341406116068244E-2</v>
      </c>
      <c r="F11" s="4">
        <v>2.2808509856141246E-2</v>
      </c>
      <c r="G11" s="4">
        <v>1.2167248274555434E-2</v>
      </c>
      <c r="H11" s="4">
        <v>2.7142857142857135E-2</v>
      </c>
      <c r="I11" s="4">
        <v>1.3730558887060831E-2</v>
      </c>
      <c r="J11" s="4">
        <v>2.1967386716643757E-2</v>
      </c>
      <c r="K11" s="4">
        <v>2.4135958002013728E-2</v>
      </c>
      <c r="L11" s="4">
        <v>3.5173088486056936E-2</v>
      </c>
      <c r="M11" s="4">
        <v>2.3796206886684726E-2</v>
      </c>
      <c r="N11" s="4">
        <v>3.5081647030115855E-2</v>
      </c>
      <c r="O11" s="4">
        <v>2.8879721290291899E-2</v>
      </c>
      <c r="P11" s="4">
        <v>2.6332717791566446E-2</v>
      </c>
      <c r="Q11" s="4">
        <v>3.1915377861389024E-2</v>
      </c>
      <c r="R11" s="4">
        <v>2.0291854314537318E-2</v>
      </c>
      <c r="S11" s="4">
        <v>2.4459753070368892E-2</v>
      </c>
    </row>
    <row r="12" spans="1:19" x14ac:dyDescent="0.25">
      <c r="A12">
        <v>2070</v>
      </c>
      <c r="B12" s="4">
        <v>1.6183065958516908E-2</v>
      </c>
      <c r="C12" s="4">
        <v>1.7649691680436872E-2</v>
      </c>
      <c r="D12" s="4">
        <v>2.5094355883027195E-2</v>
      </c>
      <c r="E12" s="4">
        <v>1.0069263849855922E-2</v>
      </c>
      <c r="F12" s="4">
        <v>2.2208285912558582E-2</v>
      </c>
      <c r="G12" s="4">
        <v>1.1847057530488186E-2</v>
      </c>
      <c r="H12" s="4">
        <v>2.6428571428571419E-2</v>
      </c>
      <c r="I12" s="4">
        <v>1.3369228390032914E-2</v>
      </c>
      <c r="J12" s="4">
        <v>2.1389297592521551E-2</v>
      </c>
      <c r="K12" s="4">
        <v>2.3500801212487051E-2</v>
      </c>
      <c r="L12" s="4">
        <v>3.4247480894318595E-2</v>
      </c>
      <c r="M12" s="4">
        <v>2.3169990915982496E-2</v>
      </c>
      <c r="N12" s="4">
        <v>3.4158445792481229E-2</v>
      </c>
      <c r="O12" s="4">
        <v>2.8119728624757902E-2</v>
      </c>
      <c r="P12" s="4">
        <v>2.5639751533893647E-2</v>
      </c>
      <c r="Q12" s="4">
        <v>3.107549949661563E-2</v>
      </c>
      <c r="R12" s="4">
        <v>1.9757858148365282E-2</v>
      </c>
      <c r="S12" s="4">
        <v>2.3816075357990765E-2</v>
      </c>
    </row>
    <row r="13" spans="1:19" x14ac:dyDescent="0.25">
      <c r="A13">
        <v>2075</v>
      </c>
      <c r="B13" s="4">
        <v>1.5745685797475911E-2</v>
      </c>
      <c r="C13" s="4">
        <v>1.6925029962986279E-2</v>
      </c>
      <c r="D13" s="4">
        <v>2.4416130048350783E-2</v>
      </c>
      <c r="E13" s="4">
        <v>9.7971215836435994E-3</v>
      </c>
      <c r="F13" s="4">
        <v>2.1608061968975918E-2</v>
      </c>
      <c r="G13" s="4">
        <v>1.1526866786420937E-2</v>
      </c>
      <c r="H13" s="4">
        <v>2.5714285714285703E-2</v>
      </c>
      <c r="I13" s="4">
        <v>1.3007897893004997E-2</v>
      </c>
      <c r="J13" s="4">
        <v>2.0811208468399345E-2</v>
      </c>
      <c r="K13" s="4">
        <v>2.2865644422960373E-2</v>
      </c>
      <c r="L13" s="4">
        <v>3.3321873302580254E-2</v>
      </c>
      <c r="M13" s="4">
        <v>2.2543774945280266E-2</v>
      </c>
      <c r="N13" s="4">
        <v>3.3235244554846603E-2</v>
      </c>
      <c r="O13" s="4">
        <v>2.7359735959223905E-2</v>
      </c>
      <c r="P13" s="4">
        <v>2.4946785276220847E-2</v>
      </c>
      <c r="Q13" s="4">
        <v>3.0235621131842236E-2</v>
      </c>
      <c r="R13" s="4">
        <v>1.9223861982193245E-2</v>
      </c>
      <c r="S13" s="4">
        <v>2.3172397645612637E-2</v>
      </c>
    </row>
    <row r="14" spans="1:19" x14ac:dyDescent="0.25">
      <c r="A14">
        <v>2080</v>
      </c>
      <c r="B14" s="4">
        <v>1.5308305636434913E-2</v>
      </c>
      <c r="C14" s="4">
        <v>1.6955246823871412E-2</v>
      </c>
      <c r="D14" s="4">
        <v>2.3737904213674371E-2</v>
      </c>
      <c r="E14" s="4">
        <v>9.5249793174312768E-3</v>
      </c>
      <c r="F14" s="4">
        <v>2.1007838025393254E-2</v>
      </c>
      <c r="G14" s="4">
        <v>1.1206676042353689E-2</v>
      </c>
      <c r="H14" s="4">
        <v>2.4999999999999988E-2</v>
      </c>
      <c r="I14" s="4">
        <v>1.264656739597708E-2</v>
      </c>
      <c r="J14" s="4">
        <v>2.0233119344277139E-2</v>
      </c>
      <c r="K14" s="4">
        <v>2.2230487633433695E-2</v>
      </c>
      <c r="L14" s="4">
        <v>3.2396265710841914E-2</v>
      </c>
      <c r="M14" s="4">
        <v>2.1917558974578037E-2</v>
      </c>
      <c r="N14" s="4">
        <v>3.2312043317211978E-2</v>
      </c>
      <c r="O14" s="4">
        <v>2.6599743293689908E-2</v>
      </c>
      <c r="P14" s="4">
        <v>2.4253819018548048E-2</v>
      </c>
      <c r="Q14" s="4">
        <v>2.9395742767068841E-2</v>
      </c>
      <c r="R14" s="4">
        <v>1.8689865816021209E-2</v>
      </c>
      <c r="S14" s="4">
        <v>2.252871993323451E-2</v>
      </c>
    </row>
    <row r="15" spans="1:19" x14ac:dyDescent="0.25">
      <c r="A15">
        <v>2085</v>
      </c>
      <c r="B15" s="4">
        <v>1.4870925475393915E-2</v>
      </c>
      <c r="C15" s="4">
        <v>1.6520792821890194E-2</v>
      </c>
      <c r="D15" s="4">
        <v>2.3059678378997958E-2</v>
      </c>
      <c r="E15" s="4">
        <v>9.2528370512189543E-3</v>
      </c>
      <c r="F15" s="4">
        <v>2.0407614081810591E-2</v>
      </c>
      <c r="G15" s="4">
        <v>1.088648529828644E-2</v>
      </c>
      <c r="H15" s="4">
        <v>2.4285714285714272E-2</v>
      </c>
      <c r="I15" s="4">
        <v>1.2285236898949163E-2</v>
      </c>
      <c r="J15" s="4">
        <v>1.9655030220154933E-2</v>
      </c>
      <c r="K15" s="4">
        <v>2.1595330843907017E-2</v>
      </c>
      <c r="L15" s="4">
        <v>3.1470658119103573E-2</v>
      </c>
      <c r="M15" s="4">
        <v>2.1291343003875807E-2</v>
      </c>
      <c r="N15" s="4">
        <v>3.1388842079577352E-2</v>
      </c>
      <c r="O15" s="4">
        <v>2.5839750628155911E-2</v>
      </c>
      <c r="P15" s="4">
        <v>2.3560852760875248E-2</v>
      </c>
      <c r="Q15" s="4">
        <v>2.8555864402295447E-2</v>
      </c>
      <c r="R15" s="4">
        <v>1.8155869649849173E-2</v>
      </c>
      <c r="S15" s="4">
        <v>2.1885042220856382E-2</v>
      </c>
    </row>
    <row r="16" spans="1:19" x14ac:dyDescent="0.25">
      <c r="A16">
        <v>2090</v>
      </c>
      <c r="B16" s="4">
        <v>1.4433545314352918E-2</v>
      </c>
      <c r="C16" s="4">
        <v>1.5645393666086672E-2</v>
      </c>
      <c r="D16" s="4">
        <v>2.2381452544321546E-2</v>
      </c>
      <c r="E16" s="4">
        <v>8.9806947850066318E-3</v>
      </c>
      <c r="F16" s="4">
        <v>1.9807390138227927E-2</v>
      </c>
      <c r="G16" s="4">
        <v>1.0566294554219192E-2</v>
      </c>
      <c r="H16" s="4">
        <v>2.3571428571428556E-2</v>
      </c>
      <c r="I16" s="4">
        <v>1.1923906401921246E-2</v>
      </c>
      <c r="J16" s="4">
        <v>1.9076941096032727E-2</v>
      </c>
      <c r="K16" s="4">
        <v>2.0960174054380339E-2</v>
      </c>
      <c r="L16" s="4">
        <v>3.0545050527365232E-2</v>
      </c>
      <c r="M16" s="4">
        <v>2.0665127033173577E-2</v>
      </c>
      <c r="N16" s="4">
        <v>3.0465640841942723E-2</v>
      </c>
      <c r="O16" s="4">
        <v>2.5079757962621914E-2</v>
      </c>
      <c r="P16" s="4">
        <v>2.2867886503202449E-2</v>
      </c>
      <c r="Q16" s="4">
        <v>2.7715986037522053E-2</v>
      </c>
      <c r="R16" s="4">
        <v>1.7621873483677136E-2</v>
      </c>
      <c r="S16" s="4">
        <v>2.1241364508478255E-2</v>
      </c>
    </row>
    <row r="17" spans="1:19" x14ac:dyDescent="0.25">
      <c r="A17">
        <v>2095</v>
      </c>
      <c r="B17" s="4">
        <v>1.399616515331192E-2</v>
      </c>
      <c r="C17" s="4">
        <v>1.525459629557321E-2</v>
      </c>
      <c r="D17" s="4">
        <v>2.1703226709645133E-2</v>
      </c>
      <c r="E17" s="4">
        <v>8.7085525187943092E-3</v>
      </c>
      <c r="F17" s="4">
        <v>1.9207166194645263E-2</v>
      </c>
      <c r="G17" s="4">
        <v>1.0246103810151943E-2</v>
      </c>
      <c r="H17" s="4">
        <v>2.285714285714284E-2</v>
      </c>
      <c r="I17" s="4">
        <v>1.1562575904893329E-2</v>
      </c>
      <c r="J17" s="4">
        <v>1.8498851971910521E-2</v>
      </c>
      <c r="K17" s="4">
        <v>2.0325017264853661E-2</v>
      </c>
      <c r="L17" s="4">
        <v>2.9619442935626891E-2</v>
      </c>
      <c r="M17" s="4">
        <v>2.0038911062471347E-2</v>
      </c>
      <c r="N17" s="4">
        <v>2.9542439604308093E-2</v>
      </c>
      <c r="O17" s="4">
        <v>2.4319765297087917E-2</v>
      </c>
      <c r="P17" s="4">
        <v>2.2174920245529649E-2</v>
      </c>
      <c r="Q17" s="4">
        <v>2.6876107672748659E-2</v>
      </c>
      <c r="R17" s="4">
        <v>1.70878773175051E-2</v>
      </c>
      <c r="S17" s="4">
        <v>2.0597686796100127E-2</v>
      </c>
    </row>
    <row r="18" spans="1:19" x14ac:dyDescent="0.25">
      <c r="A18">
        <v>2100</v>
      </c>
      <c r="B18" s="4">
        <v>1.3558784992270922E-2</v>
      </c>
      <c r="C18" s="4">
        <v>1.4777890161336547E-2</v>
      </c>
      <c r="D18" s="4">
        <v>2.1025000874968721E-2</v>
      </c>
      <c r="E18" s="4">
        <v>8.4364102525819867E-3</v>
      </c>
      <c r="F18" s="4">
        <v>1.8606942251062599E-2</v>
      </c>
      <c r="G18" s="4">
        <v>9.9259130660846948E-3</v>
      </c>
      <c r="H18" s="4">
        <v>2.2142857142857124E-2</v>
      </c>
      <c r="I18" s="4">
        <v>1.1201245407865412E-2</v>
      </c>
      <c r="J18" s="4">
        <v>1.7920762847788315E-2</v>
      </c>
      <c r="K18" s="4">
        <v>1.9689860475326983E-2</v>
      </c>
      <c r="L18" s="4">
        <v>2.869383534388855E-2</v>
      </c>
      <c r="M18" s="4">
        <v>1.9412695091769117E-2</v>
      </c>
      <c r="N18" s="4">
        <v>2.8619238366673464E-2</v>
      </c>
      <c r="O18" s="4">
        <v>2.355977263155392E-2</v>
      </c>
      <c r="P18" s="4">
        <v>2.148195398785685E-2</v>
      </c>
      <c r="Q18" s="4">
        <v>2.6036229307975264E-2</v>
      </c>
      <c r="R18" s="4">
        <v>1.6553881151333064E-2</v>
      </c>
      <c r="S18" s="4">
        <v>1.9954009083722E-2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F6BA-902F-4B20-BCC8-F44B01010D69}">
  <dimension ref="A1:S19"/>
  <sheetViews>
    <sheetView tabSelected="1" workbookViewId="0">
      <selection activeCell="B19" sqref="B19:S19"/>
    </sheetView>
  </sheetViews>
  <sheetFormatPr defaultRowHeight="15" x14ac:dyDescent="0.25"/>
  <sheetData>
    <row r="1" spans="1:19" x14ac:dyDescent="0.25">
      <c r="A1" t="s">
        <v>25</v>
      </c>
      <c r="B1" t="s">
        <v>11</v>
      </c>
      <c r="C1" t="s">
        <v>1</v>
      </c>
      <c r="D1" t="s">
        <v>9</v>
      </c>
      <c r="E1" t="s">
        <v>10</v>
      </c>
      <c r="F1" t="s">
        <v>3</v>
      </c>
      <c r="G1" t="s">
        <v>16</v>
      </c>
      <c r="H1" t="s">
        <v>2</v>
      </c>
      <c r="I1" t="s">
        <v>7</v>
      </c>
      <c r="J1" t="s">
        <v>0</v>
      </c>
      <c r="K1" t="s">
        <v>14</v>
      </c>
      <c r="L1" t="s">
        <v>5</v>
      </c>
      <c r="M1" t="s">
        <v>6</v>
      </c>
      <c r="N1" t="s">
        <v>8</v>
      </c>
      <c r="O1" t="s">
        <v>15</v>
      </c>
      <c r="P1" t="s">
        <v>4</v>
      </c>
      <c r="Q1" t="s">
        <v>13</v>
      </c>
      <c r="R1" t="s">
        <v>12</v>
      </c>
      <c r="S1" t="s">
        <v>17</v>
      </c>
    </row>
    <row r="2" spans="1:19" x14ac:dyDescent="0.25">
      <c r="A2">
        <v>2023</v>
      </c>
      <c r="B2">
        <v>210.70400000000001</v>
      </c>
      <c r="C2">
        <v>39.178000000000004</v>
      </c>
      <c r="D2">
        <v>1428.25</v>
      </c>
      <c r="E2">
        <v>1432.8520000000001</v>
      </c>
      <c r="F2">
        <v>124.68600000000001</v>
      </c>
      <c r="G2">
        <v>51.751999999999995</v>
      </c>
      <c r="H2">
        <v>129.38999999999999</v>
      </c>
      <c r="I2">
        <v>145.28399999999999</v>
      </c>
      <c r="J2">
        <v>343.47800000000001</v>
      </c>
      <c r="K2">
        <v>316.60400000000004</v>
      </c>
      <c r="L2">
        <v>532.98400000000004</v>
      </c>
      <c r="M2">
        <v>252.68799999999999</v>
      </c>
      <c r="N2">
        <v>250.09800000000001</v>
      </c>
      <c r="O2">
        <v>721.78200000000004</v>
      </c>
      <c r="P2">
        <v>45.346000000000004</v>
      </c>
      <c r="Q2">
        <v>286.39999999999998</v>
      </c>
      <c r="R2">
        <v>1465.134</v>
      </c>
      <c r="S2">
        <v>280.27199999999999</v>
      </c>
    </row>
    <row r="3" spans="1:19" x14ac:dyDescent="0.25">
      <c r="A3">
        <v>2025</v>
      </c>
      <c r="B3">
        <v>212.42</v>
      </c>
      <c r="C3">
        <v>39.950000000000003</v>
      </c>
      <c r="D3">
        <v>1425.13</v>
      </c>
      <c r="E3">
        <v>1457.44</v>
      </c>
      <c r="F3">
        <v>123.43</v>
      </c>
      <c r="G3">
        <v>51.7</v>
      </c>
      <c r="H3">
        <v>131.41</v>
      </c>
      <c r="I3">
        <v>144.44</v>
      </c>
      <c r="J3">
        <v>346.37</v>
      </c>
      <c r="K3">
        <v>321.3</v>
      </c>
      <c r="L3">
        <v>534.82000000000005</v>
      </c>
      <c r="M3">
        <v>253.4</v>
      </c>
      <c r="N3">
        <v>252.75</v>
      </c>
      <c r="O3">
        <v>739.37</v>
      </c>
      <c r="P3">
        <v>46.35</v>
      </c>
      <c r="Q3">
        <v>297.86</v>
      </c>
      <c r="R3">
        <v>1532.37</v>
      </c>
      <c r="S3">
        <v>284.62</v>
      </c>
    </row>
    <row r="4" spans="1:19" x14ac:dyDescent="0.25">
      <c r="A4">
        <v>2030</v>
      </c>
      <c r="B4">
        <v>215.81</v>
      </c>
      <c r="C4">
        <v>41.52</v>
      </c>
      <c r="D4">
        <v>1407.55</v>
      </c>
      <c r="E4">
        <v>1519.36</v>
      </c>
      <c r="F4">
        <v>119.95</v>
      </c>
      <c r="G4">
        <v>51.26</v>
      </c>
      <c r="H4">
        <v>136.44</v>
      </c>
      <c r="I4">
        <v>142.09</v>
      </c>
      <c r="J4">
        <v>354.86</v>
      </c>
      <c r="K4">
        <v>333.1</v>
      </c>
      <c r="L4">
        <v>532.35</v>
      </c>
      <c r="M4">
        <v>260.51</v>
      </c>
      <c r="N4">
        <v>258.66000000000003</v>
      </c>
      <c r="O4">
        <v>784.94</v>
      </c>
      <c r="P4">
        <v>48.84</v>
      </c>
      <c r="Q4">
        <v>323.2</v>
      </c>
      <c r="R4">
        <v>1709.22</v>
      </c>
      <c r="S4">
        <v>294.94</v>
      </c>
    </row>
    <row r="5" spans="1:19" x14ac:dyDescent="0.25">
      <c r="A5">
        <v>2035</v>
      </c>
      <c r="B5">
        <v>218.04</v>
      </c>
      <c r="C5">
        <v>42.8</v>
      </c>
      <c r="D5">
        <v>1383.29</v>
      </c>
      <c r="E5">
        <v>1573.78</v>
      </c>
      <c r="F5">
        <v>116.25</v>
      </c>
      <c r="G5">
        <v>50.41</v>
      </c>
      <c r="H5">
        <v>140.76</v>
      </c>
      <c r="I5">
        <v>140.09</v>
      </c>
      <c r="J5">
        <v>362.55</v>
      </c>
      <c r="K5">
        <v>343.39</v>
      </c>
      <c r="L5">
        <v>529.13</v>
      </c>
      <c r="M5">
        <v>265.20999999999998</v>
      </c>
      <c r="N5">
        <v>263.79000000000002</v>
      </c>
      <c r="O5">
        <v>831.29</v>
      </c>
      <c r="P5">
        <v>51.13</v>
      </c>
      <c r="Q5">
        <v>345.94</v>
      </c>
      <c r="R5">
        <v>1891.25</v>
      </c>
      <c r="S5">
        <v>303.77</v>
      </c>
    </row>
    <row r="6" spans="1:19" x14ac:dyDescent="0.25">
      <c r="A6">
        <v>2040</v>
      </c>
      <c r="B6">
        <v>219.19</v>
      </c>
      <c r="C6">
        <v>43.86</v>
      </c>
      <c r="D6">
        <v>1353.01</v>
      </c>
      <c r="E6">
        <v>1618.71</v>
      </c>
      <c r="F6">
        <v>112.53</v>
      </c>
      <c r="G6">
        <v>49.1</v>
      </c>
      <c r="H6">
        <v>144.32</v>
      </c>
      <c r="I6">
        <v>138.41999999999999</v>
      </c>
      <c r="J6">
        <v>369.57</v>
      </c>
      <c r="K6">
        <v>351.9</v>
      </c>
      <c r="L6">
        <v>524.91999999999996</v>
      </c>
      <c r="M6">
        <v>269.44</v>
      </c>
      <c r="N6">
        <v>267.74</v>
      </c>
      <c r="O6">
        <v>875.37</v>
      </c>
      <c r="P6">
        <v>53.32</v>
      </c>
      <c r="Q6">
        <v>367.97</v>
      </c>
      <c r="R6">
        <v>2076.98</v>
      </c>
      <c r="S6">
        <v>311.16000000000003</v>
      </c>
    </row>
    <row r="7" spans="1:19" x14ac:dyDescent="0.25">
      <c r="A7">
        <v>2045</v>
      </c>
      <c r="B7">
        <v>219.12</v>
      </c>
      <c r="C7">
        <v>44.76</v>
      </c>
      <c r="D7">
        <v>1316.69</v>
      </c>
      <c r="E7">
        <v>1653.23</v>
      </c>
      <c r="F7">
        <v>108.91</v>
      </c>
      <c r="G7">
        <v>47.42</v>
      </c>
      <c r="H7">
        <v>147.02000000000001</v>
      </c>
      <c r="I7">
        <v>137.24</v>
      </c>
      <c r="J7">
        <v>375.58</v>
      </c>
      <c r="K7">
        <v>358.36</v>
      </c>
      <c r="L7">
        <v>519.91999999999996</v>
      </c>
      <c r="M7">
        <v>273.33</v>
      </c>
      <c r="N7">
        <v>270.11</v>
      </c>
      <c r="O7">
        <v>916.55</v>
      </c>
      <c r="P7">
        <v>55.44</v>
      </c>
      <c r="Q7">
        <v>389.13</v>
      </c>
      <c r="R7">
        <v>2263.67</v>
      </c>
      <c r="S7">
        <v>316.8</v>
      </c>
    </row>
    <row r="8" spans="1:19" x14ac:dyDescent="0.25">
      <c r="A8">
        <v>2050</v>
      </c>
      <c r="B8">
        <v>217.7</v>
      </c>
      <c r="C8">
        <v>45.55</v>
      </c>
      <c r="D8">
        <v>1271.58</v>
      </c>
      <c r="E8">
        <v>1677.69</v>
      </c>
      <c r="F8">
        <v>105.46</v>
      </c>
      <c r="G8">
        <v>45.37</v>
      </c>
      <c r="H8">
        <v>148.82</v>
      </c>
      <c r="I8">
        <v>136.26</v>
      </c>
      <c r="J8">
        <v>380.41</v>
      </c>
      <c r="K8">
        <v>362.79</v>
      </c>
      <c r="L8">
        <v>513.52</v>
      </c>
      <c r="M8">
        <v>276.44</v>
      </c>
      <c r="N8">
        <v>270.63</v>
      </c>
      <c r="O8">
        <v>954.53</v>
      </c>
      <c r="P8">
        <v>57.49</v>
      </c>
      <c r="Q8">
        <v>409.11</v>
      </c>
      <c r="R8">
        <v>2448.4</v>
      </c>
      <c r="S8">
        <v>320.45999999999998</v>
      </c>
    </row>
    <row r="9" spans="1:19" x14ac:dyDescent="0.25">
      <c r="A9">
        <v>2055</v>
      </c>
      <c r="B9">
        <v>215.12</v>
      </c>
      <c r="C9">
        <v>46.28</v>
      </c>
      <c r="D9">
        <v>1214.4100000000001</v>
      </c>
      <c r="E9">
        <v>1693.27</v>
      </c>
      <c r="F9">
        <v>102.07</v>
      </c>
      <c r="G9">
        <v>42.9</v>
      </c>
      <c r="H9">
        <v>149.75</v>
      </c>
      <c r="I9">
        <v>134.82</v>
      </c>
      <c r="J9">
        <v>384.52</v>
      </c>
      <c r="K9">
        <v>365.28</v>
      </c>
      <c r="L9">
        <v>505.45</v>
      </c>
      <c r="M9">
        <v>278.16000000000003</v>
      </c>
      <c r="N9">
        <v>269.27</v>
      </c>
      <c r="O9">
        <v>988.46</v>
      </c>
      <c r="P9">
        <v>59.4</v>
      </c>
      <c r="Q9">
        <v>427.67</v>
      </c>
      <c r="R9">
        <v>2629.27</v>
      </c>
      <c r="S9">
        <v>322.26</v>
      </c>
    </row>
    <row r="10" spans="1:19" x14ac:dyDescent="0.25">
      <c r="A10">
        <v>2060</v>
      </c>
      <c r="B10">
        <v>211.46</v>
      </c>
      <c r="C10">
        <v>47.06</v>
      </c>
      <c r="D10">
        <v>1147.3399999999999</v>
      </c>
      <c r="E10">
        <v>1700.69</v>
      </c>
      <c r="F10">
        <v>98.48</v>
      </c>
      <c r="G10">
        <v>40.14</v>
      </c>
      <c r="H10">
        <v>149.91999999999999</v>
      </c>
      <c r="I10">
        <v>133.06</v>
      </c>
      <c r="J10">
        <v>388.51</v>
      </c>
      <c r="K10">
        <v>365.86</v>
      </c>
      <c r="L10">
        <v>495.88</v>
      </c>
      <c r="M10">
        <v>278.52999999999997</v>
      </c>
      <c r="N10">
        <v>266.42</v>
      </c>
      <c r="O10">
        <v>1018.84</v>
      </c>
      <c r="P10">
        <v>61.2</v>
      </c>
      <c r="Q10">
        <v>444.5</v>
      </c>
      <c r="R10">
        <v>2804.4</v>
      </c>
      <c r="S10">
        <v>322.57</v>
      </c>
    </row>
    <row r="11" spans="1:19" x14ac:dyDescent="0.25">
      <c r="A11">
        <v>2065</v>
      </c>
      <c r="B11">
        <v>206.85</v>
      </c>
      <c r="C11">
        <v>47.92</v>
      </c>
      <c r="D11">
        <v>1077.3</v>
      </c>
      <c r="E11">
        <v>1699.89</v>
      </c>
      <c r="F11">
        <v>94.71</v>
      </c>
      <c r="G11">
        <v>37.36</v>
      </c>
      <c r="H11">
        <v>149.4</v>
      </c>
      <c r="I11">
        <v>131.35</v>
      </c>
      <c r="J11">
        <v>392.89</v>
      </c>
      <c r="K11">
        <v>364.72</v>
      </c>
      <c r="L11">
        <v>486.15</v>
      </c>
      <c r="M11">
        <v>277.86</v>
      </c>
      <c r="N11">
        <v>262.57</v>
      </c>
      <c r="O11">
        <v>1044.96</v>
      </c>
      <c r="P11">
        <v>62.89</v>
      </c>
      <c r="Q11">
        <v>459.58</v>
      </c>
      <c r="R11">
        <v>2972</v>
      </c>
      <c r="S11">
        <v>321.81</v>
      </c>
    </row>
    <row r="12" spans="1:19" x14ac:dyDescent="0.25">
      <c r="A12">
        <v>2070</v>
      </c>
      <c r="B12">
        <v>201.47</v>
      </c>
      <c r="C12">
        <v>48.78</v>
      </c>
      <c r="D12">
        <v>1009.67</v>
      </c>
      <c r="E12">
        <v>1690.65</v>
      </c>
      <c r="F12">
        <v>90.97</v>
      </c>
      <c r="G12">
        <v>34.71</v>
      </c>
      <c r="H12">
        <v>148.22</v>
      </c>
      <c r="I12">
        <v>129.85</v>
      </c>
      <c r="J12">
        <v>397.74</v>
      </c>
      <c r="K12">
        <v>361.98</v>
      </c>
      <c r="L12">
        <v>477.13</v>
      </c>
      <c r="M12">
        <v>276.47000000000003</v>
      </c>
      <c r="N12">
        <v>257.99</v>
      </c>
      <c r="O12">
        <v>1066.92</v>
      </c>
      <c r="P12">
        <v>64.540000000000006</v>
      </c>
      <c r="Q12">
        <v>472.75</v>
      </c>
      <c r="R12">
        <v>3130.05</v>
      </c>
      <c r="S12">
        <v>320.25</v>
      </c>
    </row>
    <row r="13" spans="1:19" x14ac:dyDescent="0.25">
      <c r="A13">
        <v>2075</v>
      </c>
      <c r="B13">
        <v>195.51</v>
      </c>
      <c r="C13">
        <v>49.58</v>
      </c>
      <c r="D13">
        <v>944.78</v>
      </c>
      <c r="E13">
        <v>1673.08</v>
      </c>
      <c r="F13">
        <v>87.65</v>
      </c>
      <c r="G13">
        <v>32.21</v>
      </c>
      <c r="H13">
        <v>146.43</v>
      </c>
      <c r="I13">
        <v>128.65</v>
      </c>
      <c r="J13">
        <v>402.44</v>
      </c>
      <c r="K13">
        <v>357.76</v>
      </c>
      <c r="L13">
        <v>469.08</v>
      </c>
      <c r="M13">
        <v>274.52999999999997</v>
      </c>
      <c r="N13">
        <v>252.74</v>
      </c>
      <c r="O13">
        <v>1084.27</v>
      </c>
      <c r="P13">
        <v>66.069999999999993</v>
      </c>
      <c r="Q13">
        <v>484.17</v>
      </c>
      <c r="R13">
        <v>3277.3</v>
      </c>
      <c r="S13">
        <v>317.95999999999998</v>
      </c>
    </row>
    <row r="14" spans="1:19" x14ac:dyDescent="0.25">
      <c r="A14">
        <v>2080</v>
      </c>
      <c r="B14">
        <v>189.24</v>
      </c>
      <c r="C14">
        <v>50.37</v>
      </c>
      <c r="D14">
        <v>880.2</v>
      </c>
      <c r="E14">
        <v>1648.38</v>
      </c>
      <c r="F14">
        <v>84.97</v>
      </c>
      <c r="G14">
        <v>29.89</v>
      </c>
      <c r="H14">
        <v>144.07</v>
      </c>
      <c r="I14">
        <v>127.89</v>
      </c>
      <c r="J14">
        <v>406.71</v>
      </c>
      <c r="K14">
        <v>352.13</v>
      </c>
      <c r="L14">
        <v>461.96</v>
      </c>
      <c r="M14">
        <v>272.17</v>
      </c>
      <c r="N14">
        <v>246.7</v>
      </c>
      <c r="O14">
        <v>1096.6099999999999</v>
      </c>
      <c r="P14">
        <v>67.53</v>
      </c>
      <c r="Q14">
        <v>493.96</v>
      </c>
      <c r="R14">
        <v>3412.07</v>
      </c>
      <c r="S14">
        <v>314.89</v>
      </c>
    </row>
    <row r="15" spans="1:19" x14ac:dyDescent="0.25">
      <c r="A15">
        <v>2085</v>
      </c>
      <c r="B15">
        <v>182.82</v>
      </c>
      <c r="C15">
        <v>51.14</v>
      </c>
      <c r="D15">
        <v>815.52</v>
      </c>
      <c r="E15">
        <v>1618.14</v>
      </c>
      <c r="F15">
        <v>82.77</v>
      </c>
      <c r="G15">
        <v>27.72</v>
      </c>
      <c r="H15">
        <v>141.21</v>
      </c>
      <c r="I15">
        <v>127.47</v>
      </c>
      <c r="J15">
        <v>410.5</v>
      </c>
      <c r="K15">
        <v>345.28</v>
      </c>
      <c r="L15">
        <v>455.58</v>
      </c>
      <c r="M15">
        <v>269.44</v>
      </c>
      <c r="N15">
        <v>239.98</v>
      </c>
      <c r="O15">
        <v>1104.4100000000001</v>
      </c>
      <c r="P15">
        <v>68.92</v>
      </c>
      <c r="Q15">
        <v>502.9</v>
      </c>
      <c r="R15">
        <v>3532.78</v>
      </c>
      <c r="S15">
        <v>311.08</v>
      </c>
    </row>
    <row r="16" spans="1:19" x14ac:dyDescent="0.25">
      <c r="A16">
        <v>2090</v>
      </c>
      <c r="B16">
        <v>176.42</v>
      </c>
      <c r="C16">
        <v>51.89</v>
      </c>
      <c r="D16">
        <v>753.52</v>
      </c>
      <c r="E16">
        <v>1583.91</v>
      </c>
      <c r="F16">
        <v>80.819999999999993</v>
      </c>
      <c r="G16">
        <v>25.65</v>
      </c>
      <c r="H16">
        <v>137.94</v>
      </c>
      <c r="I16">
        <v>127.17</v>
      </c>
      <c r="J16">
        <v>414.1</v>
      </c>
      <c r="K16">
        <v>337.45</v>
      </c>
      <c r="L16">
        <v>449.63</v>
      </c>
      <c r="M16">
        <v>266.33999999999997</v>
      </c>
      <c r="N16">
        <v>232.86</v>
      </c>
      <c r="O16">
        <v>1108.18</v>
      </c>
      <c r="P16">
        <v>70.28</v>
      </c>
      <c r="Q16">
        <v>510.79</v>
      </c>
      <c r="R16">
        <v>3639.29</v>
      </c>
      <c r="S16">
        <v>306.60000000000002</v>
      </c>
    </row>
    <row r="17" spans="1:19" x14ac:dyDescent="0.25">
      <c r="A17">
        <v>2095</v>
      </c>
      <c r="B17">
        <v>170.11</v>
      </c>
      <c r="C17">
        <v>52.65</v>
      </c>
      <c r="D17">
        <v>695.67</v>
      </c>
      <c r="E17">
        <v>1547.14</v>
      </c>
      <c r="F17">
        <v>78.94</v>
      </c>
      <c r="G17">
        <v>23.72</v>
      </c>
      <c r="H17">
        <v>134.38</v>
      </c>
      <c r="I17">
        <v>126.88</v>
      </c>
      <c r="J17">
        <v>417.76</v>
      </c>
      <c r="K17">
        <v>329.04</v>
      </c>
      <c r="L17">
        <v>444</v>
      </c>
      <c r="M17">
        <v>262.89999999999998</v>
      </c>
      <c r="N17">
        <v>225.68</v>
      </c>
      <c r="O17">
        <v>1108.7</v>
      </c>
      <c r="P17">
        <v>71.62</v>
      </c>
      <c r="Q17">
        <v>517.52</v>
      </c>
      <c r="R17">
        <v>3730.45</v>
      </c>
      <c r="S17">
        <v>301.52999999999997</v>
      </c>
    </row>
    <row r="18" spans="1:19" x14ac:dyDescent="0.25">
      <c r="A18">
        <v>2100</v>
      </c>
      <c r="B18">
        <v>163.97</v>
      </c>
      <c r="C18">
        <v>53.52</v>
      </c>
      <c r="D18">
        <v>640.79</v>
      </c>
      <c r="E18">
        <v>1509.11</v>
      </c>
      <c r="F18">
        <v>77.040000000000006</v>
      </c>
      <c r="G18">
        <v>22.01</v>
      </c>
      <c r="H18">
        <v>130.63</v>
      </c>
      <c r="I18">
        <v>126.44</v>
      </c>
      <c r="J18">
        <v>421.01</v>
      </c>
      <c r="K18">
        <v>320.33</v>
      </c>
      <c r="L18">
        <v>438.18</v>
      </c>
      <c r="M18">
        <v>259.10000000000002</v>
      </c>
      <c r="N18">
        <v>218.67</v>
      </c>
      <c r="O18">
        <v>1105.69</v>
      </c>
      <c r="P18">
        <v>72.83</v>
      </c>
      <c r="Q18">
        <v>522.91</v>
      </c>
      <c r="R18">
        <v>3807.04</v>
      </c>
      <c r="S18">
        <v>296.07</v>
      </c>
    </row>
    <row r="19" spans="1:19" x14ac:dyDescent="0.25">
      <c r="A19" s="5">
        <v>2105</v>
      </c>
      <c r="B19" s="5">
        <f>B18</f>
        <v>163.97</v>
      </c>
      <c r="C19" s="5">
        <f t="shared" ref="C19:S19" si="0">C18</f>
        <v>53.52</v>
      </c>
      <c r="D19" s="5">
        <f t="shared" si="0"/>
        <v>640.79</v>
      </c>
      <c r="E19" s="5">
        <f t="shared" si="0"/>
        <v>1509.11</v>
      </c>
      <c r="F19" s="5">
        <f t="shared" si="0"/>
        <v>77.040000000000006</v>
      </c>
      <c r="G19" s="5">
        <f t="shared" si="0"/>
        <v>22.01</v>
      </c>
      <c r="H19" s="5">
        <f t="shared" si="0"/>
        <v>130.63</v>
      </c>
      <c r="I19" s="5">
        <f t="shared" si="0"/>
        <v>126.44</v>
      </c>
      <c r="J19" s="5">
        <f t="shared" si="0"/>
        <v>421.01</v>
      </c>
      <c r="K19" s="5">
        <f t="shared" si="0"/>
        <v>320.33</v>
      </c>
      <c r="L19" s="5">
        <f t="shared" si="0"/>
        <v>438.18</v>
      </c>
      <c r="M19" s="5">
        <f t="shared" si="0"/>
        <v>259.10000000000002</v>
      </c>
      <c r="N19" s="5">
        <f t="shared" si="0"/>
        <v>218.67</v>
      </c>
      <c r="O19" s="5">
        <f t="shared" si="0"/>
        <v>1105.69</v>
      </c>
      <c r="P19" s="5">
        <f t="shared" si="0"/>
        <v>72.83</v>
      </c>
      <c r="Q19" s="5">
        <f t="shared" si="0"/>
        <v>522.91</v>
      </c>
      <c r="R19" s="5">
        <f t="shared" si="0"/>
        <v>3807.04</v>
      </c>
      <c r="S19" s="5">
        <f t="shared" si="0"/>
        <v>296.07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argdpgrrate</vt:lpstr>
      <vt:lpstr>popa_eppa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Chen</dc:creator>
  <cp:lastModifiedBy>Henry Chen</cp:lastModifiedBy>
  <dcterms:created xsi:type="dcterms:W3CDTF">2026-08-03T15:52:10Z</dcterms:created>
  <dcterms:modified xsi:type="dcterms:W3CDTF">2026-09-26T18:08:45Z</dcterms:modified>
</cp:coreProperties>
</file>