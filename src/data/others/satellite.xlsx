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MIT Dropbox\Yen-Heng Chen\2026\2026-13_EPPAinJulia\EPPAinJulia\src\data\others\"/>
    </mc:Choice>
  </mc:AlternateContent>
  <xr:revisionPtr revIDLastSave="0" documentId="13_ncr:1_{088311D2-5026-43A2-8175-E2239A94A261}" xr6:coauthVersionLast="47" xr6:coauthVersionMax="47" xr10:uidLastSave="{00000000-0000-0000-0000-000000000000}"/>
  <bookViews>
    <workbookView xWindow="-120" yWindow="-120" windowWidth="29040" windowHeight="15720" xr2:uid="{69050F7B-07FD-47B9-AC7B-A9BBF237F6D0}"/>
  </bookViews>
  <sheets>
    <sheet name="parameter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" l="1" a="1"/>
  <c r="B7" i="1" s="1"/>
  <c r="S7" i="1" l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</author>
  </authors>
  <commentList>
    <comment ref="A2" authorId="0" shapeId="0" xr:uid="{682DE5ED-2C28-472A-935E-DD78E3C266E1}">
      <text>
        <r>
          <rPr>
            <b/>
            <sz val="9"/>
            <color indexed="81"/>
            <rFont val="Tahoma"/>
            <family val="2"/>
          </rPr>
          <t>Henry:</t>
        </r>
        <r>
          <rPr>
            <sz val="9"/>
            <color indexed="81"/>
            <rFont val="Tahoma"/>
            <family val="2"/>
          </rPr>
          <t xml:space="preserve">
Share of transport usage of refined oil in household sector</t>
        </r>
      </text>
    </comment>
    <comment ref="A3" authorId="0" shapeId="0" xr:uid="{7D826E08-D24A-4E37-9F9E-9255066B6C69}">
      <text>
        <r>
          <rPr>
            <b/>
            <sz val="9"/>
            <color indexed="81"/>
            <rFont val="Tahoma"/>
            <family val="2"/>
          </rPr>
          <t>Henry:</t>
        </r>
        <r>
          <rPr>
            <sz val="9"/>
            <color indexed="81"/>
            <rFont val="Tahoma"/>
            <family val="2"/>
          </rPr>
          <t xml:space="preserve">
Own-supply expenditure share</t>
        </r>
      </text>
    </comment>
    <comment ref="A4" authorId="0" shapeId="0" xr:uid="{8725258A-A493-49B9-9BBD-1F3DE6167451}">
      <text>
        <r>
          <rPr>
            <b/>
            <sz val="9"/>
            <color indexed="81"/>
            <rFont val="Tahoma"/>
            <family val="2"/>
          </rPr>
          <t>Henry:</t>
        </r>
        <r>
          <rPr>
            <sz val="9"/>
            <color indexed="81"/>
            <rFont val="Tahoma"/>
            <family val="2"/>
          </rPr>
          <t xml:space="preserve">
Vehicle fleet rental value as an input to HH vehicle transportation. Also known as mvh in EPPA8</t>
        </r>
      </text>
    </comment>
    <comment ref="A5" authorId="0" shapeId="0" xr:uid="{0EB395D0-9897-40CE-BCC0-26DB4D45CDDB}">
      <text>
        <r>
          <rPr>
            <b/>
            <sz val="9"/>
            <color indexed="81"/>
            <rFont val="Tahoma"/>
            <family val="2"/>
          </rPr>
          <t>Henry:</t>
        </r>
        <r>
          <rPr>
            <sz val="9"/>
            <color indexed="81"/>
            <rFont val="Tahoma"/>
            <family val="2"/>
          </rPr>
          <t xml:space="preserve">
New vehicle shares. Data source: See D:\Dropbox (MIT)\work\Projects\Sergey-John-2017-02-Outlook 2017\hhtran-new\hhtran-new-20170404.xlsx
Orignal data source: Table 10.5 and 10.6 in EPA (2016): https://nepis.epa.gov/Exe/ZyPDF.cgi/P100OXEO.PDF?Dockey=P100OXEO.PDF</t>
        </r>
      </text>
    </comment>
    <comment ref="A6" authorId="0" shapeId="0" xr:uid="{A4469025-1407-40B9-A5AC-E1FF81B37B5E}">
      <text>
        <r>
          <rPr>
            <b/>
            <sz val="9"/>
            <color indexed="81"/>
            <rFont val="Tahoma"/>
            <family val="2"/>
          </rPr>
          <t>Henry:</t>
        </r>
        <r>
          <rPr>
            <sz val="9"/>
            <color indexed="81"/>
            <rFont val="Tahoma"/>
            <family val="2"/>
          </rPr>
          <t xml:space="preserve">
Fraction of vehicle capital expenditures devoted to propulsion system (the number is from EPPA5-Outlook)</t>
        </r>
      </text>
    </comment>
    <comment ref="A7" authorId="0" shapeId="0" xr:uid="{B0B4B22E-9D5C-4DB0-8E5E-0166337DB44E}">
      <text>
        <r>
          <rPr>
            <b/>
            <sz val="9"/>
            <color indexed="81"/>
            <rFont val="Tahoma"/>
            <family val="2"/>
          </rPr>
          <t>Henry:</t>
        </r>
        <r>
          <rPr>
            <sz val="9"/>
            <color indexed="81"/>
            <rFont val="Tahoma"/>
            <family val="2"/>
          </rPr>
          <t xml:space="preserve">
Commercial biofuels in the base year (EJ)</t>
        </r>
      </text>
    </comment>
  </commentList>
</comments>
</file>

<file path=xl/sharedStrings.xml><?xml version="1.0" encoding="utf-8"?>
<sst xmlns="http://schemas.openxmlformats.org/spreadsheetml/2006/main" count="25" uniqueCount="25">
  <si>
    <t>USA</t>
  </si>
  <si>
    <t>CAN</t>
  </si>
  <si>
    <t>MEX</t>
  </si>
  <si>
    <t>JPN</t>
  </si>
  <si>
    <t>ANZ</t>
  </si>
  <si>
    <t>EUR</t>
  </si>
  <si>
    <t>ROE</t>
  </si>
  <si>
    <t>RUS</t>
  </si>
  <si>
    <t>ASI</t>
  </si>
  <si>
    <t>CHN</t>
  </si>
  <si>
    <t>IND</t>
  </si>
  <si>
    <t>BRA</t>
  </si>
  <si>
    <t>AFR</t>
  </si>
  <si>
    <t>MES</t>
  </si>
  <si>
    <t>LAM</t>
  </si>
  <si>
    <t>REA</t>
  </si>
  <si>
    <t>KOR</t>
  </si>
  <si>
    <t>IDZ</t>
  </si>
  <si>
    <t>os</t>
  </si>
  <si>
    <t>es</t>
  </si>
  <si>
    <t>toi</t>
  </si>
  <si>
    <t>htrns</t>
  </si>
  <si>
    <t>propfrac</t>
  </si>
  <si>
    <t>parameter</t>
  </si>
  <si>
    <t>bio_baseyear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</si>
</sst>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 applyAlignment="1">
      <alignment horizontal="left"/>
    </xf>
    <xf numFmtId="2" fontId="0" fillId="0" borderId="0" xfId="0" applyNumberFormat="1" applyAlignment="1">
      <alignment horizontal="right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satellite0.xlsx" TargetMode="External"/><Relationship Id="rId2" Type="http://schemas.openxmlformats.org/officeDocument/2006/relationships/externalLinkPath" Target="file:///D:\work\MIT%20Dropbox\Yen-Heng%20Chen\2026\2026-13_EPPAinJulia\satellite0.xlsx" TargetMode="External"/><Relationship Id="rId1" Type="http://schemas.openxmlformats.org/officeDocument/2006/relationships/externalLinkPath" Target="/work/MIT%20Dropbox/Yen-Heng%20Chen/2026/2026-13_EPPAinJulia/satellite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"/>
      <sheetName val="eppaback_bcin"/>
      <sheetName val="eppaback_bcin_latam"/>
      <sheetName val="eppaback_bsf"/>
      <sheetName val="eppaback_bsin0"/>
      <sheetName val="eppaback_rshale_etc"/>
      <sheetName val="eppaback_bsout0"/>
      <sheetName val="eppaback_ceff"/>
      <sheetName val="eppaback_ejpereuse"/>
      <sheetName val="eppaback_elec10_8"/>
      <sheetName val="eppaback_odt_ha"/>
      <sheetName val="efficiency"/>
      <sheetName val="eppaback_eff_adj"/>
      <sheetName val="eppaback_biofgcostshr"/>
      <sheetName val="elecpower_nhreta"/>
      <sheetName val="elecpower_wstsigma"/>
      <sheetName val="readgtap_bio"/>
      <sheetName val="readgtap_co2f_iea"/>
      <sheetName val="readgtap_ej_use_iea"/>
      <sheetName val="readgtap_eprod_iea"/>
      <sheetName val="readgtap_histgen_t"/>
      <sheetName val="readgtap_tsout_t"/>
      <sheetName val="eppaelas_d_elas"/>
      <sheetName val="eppaelas_elasadj"/>
      <sheetName val="eppaelas_esube"/>
      <sheetName val="eppaelas_esup"/>
      <sheetName val="eppaelas_price07_e4"/>
      <sheetName val="eppaelas_selas"/>
      <sheetName val="eppaelas_sigg"/>
      <sheetName val="eppaelas_siggv"/>
      <sheetName val="eppaelas_sigu"/>
      <sheetName val="eppaelas_vdfmplusvifm"/>
      <sheetName val="eppaelas_usda"/>
      <sheetName val="eppaelas_elas_t"/>
      <sheetName val="eppaghg_cemco20"/>
      <sheetName val="eppaghg_defco20"/>
      <sheetName val="eppaghg_oghg0_BOC"/>
      <sheetName val="eppaghg_cghg00_BOC"/>
      <sheetName val="eppatrend_aeeigr"/>
      <sheetName val="eppatrend_argdpgrrate"/>
      <sheetName val="eppatrend_bioff"/>
      <sheetName val="eppatrend_biofgsub_t"/>
      <sheetName val="eppatrend_eid_ghg_up_t"/>
      <sheetName val="eppatrend_eid_ghg_lo_t"/>
      <sheetName val="eppatrend_a_up_t"/>
      <sheetName val="eppatrend_a_lo_t"/>
      <sheetName val="eppatrend_iea"/>
      <sheetName val="eppatrend_eppa_pre"/>
      <sheetName val="eppatrend_ieae"/>
      <sheetName val="eppatrend_eppae_pre"/>
      <sheetName val="eppatrend_tradbioenergy"/>
      <sheetName val="eppatrend_emkup_tar"/>
      <sheetName val="eppatrend_fadjt"/>
      <sheetName val="eppatrend_gasres04"/>
      <sheetName val="GDP (2015 constant USD)"/>
      <sheetName val="eppatrend_histrgdp"/>
      <sheetName val="eppatrend_h_r_trend"/>
      <sheetName val="eppatrend_r_r_trend"/>
      <sheetName val="eppatrend_n_r_trend"/>
      <sheetName val="eppatrend_lprod_f_t"/>
      <sheetName val="eppatrend_nmkup"/>
      <sheetName val="eppatrend_radjt"/>
      <sheetName val="eppatrend_rates"/>
      <sheetName val="eppatrend_res950"/>
      <sheetName val="eppatrend_rsize_t"/>
      <sheetName val="eppatrend_popa_eppa"/>
      <sheetName val="eppatrend_ghg_adj"/>
      <sheetName val="eppatrend_urb_adj"/>
      <sheetName val="eppa_htrn_a_evtrn"/>
      <sheetName val="eppa_htrn_es"/>
      <sheetName val="eppa_htrn_hhtraninc"/>
      <sheetName val="mvh"/>
      <sheetName val="eppa_htrn_mvh"/>
      <sheetName val="eppa_htrn_os"/>
      <sheetName val="eppa_htrn_vehstk0"/>
      <sheetName val="eppa_htrn_vehstkbev0"/>
      <sheetName val="eppa_htrn_vfe"/>
      <sheetName val="eppa_htrn_vmt0"/>
      <sheetName val="eppa_htrn_qpf_htrn_t"/>
      <sheetName val="eppa_htrn_htrnown_t_solve"/>
      <sheetName val="eppa_htrn_m_totalicestk_initial"/>
      <sheetName val="eppa_htrn_m_totalvehstk_initial"/>
      <sheetName val="eppa_htrn_totalevstk_lo_t"/>
      <sheetName val="eppa_htrn_totalicestk_up_t"/>
      <sheetName val="eppa_htrn_share_ev_hist"/>
      <sheetName val="eppa_htrn_share_ev_lower"/>
      <sheetName val="eppa_htrn_bbres_evtrn"/>
      <sheetName val="cem_def_cem_ref_e5"/>
      <sheetName val="cem_def_def_ref_e6"/>
      <sheetName val="cem_def_cem_pol_e5"/>
      <sheetName val="cem_def_def_pol_e5"/>
      <sheetName val="ghg_trend_ch4_agri"/>
      <sheetName val="ghg_trend_ch4_eint"/>
      <sheetName val="ghg_trend_ch4_othr"/>
      <sheetName val="ghg_trend_ch4_fd"/>
      <sheetName val="ghg_trend_n2o_agri"/>
      <sheetName val="ghg_trend_n2o_eint"/>
      <sheetName val="ghg_trend_n2o_allother"/>
      <sheetName val="ghg_trend_pfc_eint"/>
      <sheetName val="ghg_trend_pfc_othr"/>
      <sheetName val="ghg_trend_hfc_othr"/>
      <sheetName val="ghg_trend_sf6_eint"/>
      <sheetName val="ghg_trend_sf6_elec"/>
      <sheetName val="ghg_trend_sf6_othr"/>
      <sheetName val="ghg_trend_chmco2_e5_tchm_"/>
      <sheetName val="ghg_trend_chmghg_e5_tchm_"/>
      <sheetName val="ghg_trend_chmurb_e5_tchm_"/>
      <sheetName val="hist_emissions_rep"/>
      <sheetName val="eppacalib_crtable"/>
      <sheetName val="eppacalib_ncuse"/>
      <sheetName val="eppaluc_Area_GTAP"/>
      <sheetName val="eppaluc_VFM_GTAP"/>
      <sheetName val="eppaluc_VFM_GTAP10"/>
      <sheetName val="eppaluc_Pland"/>
      <sheetName val="eppaluc_land_tem"/>
      <sheetName val="eppaluc_land_tem_"/>
      <sheetName val="eppaluc_land_tem_t"/>
      <sheetName val="eppaluc_land_fao_t"/>
      <sheetName val="eppaluc_land_fao_t_"/>
      <sheetName val="eppaluc_nat_tran"/>
      <sheetName val="eppaluc_benchdef"/>
      <sheetName val="eppaluc_soil_veg_carb"/>
      <sheetName val="eppaluc_soil_carb"/>
      <sheetName val="eppaluc_h_luc"/>
      <sheetName val="eppaluc_EPPA7_phm"/>
      <sheetName val="eppaluc_adj_bio"/>
      <sheetName val="eppaluc_yield_tgt"/>
      <sheetName val="eppaluc_biofg_tgt_mkp"/>
      <sheetName val="eppaluc_bioccsmk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28">
          <cell r="C28">
            <v>1.746434956928161</v>
          </cell>
        </row>
        <row r="29">
          <cell r="C29">
            <v>4.9846277014075784E-2</v>
          </cell>
        </row>
        <row r="30">
          <cell r="C30">
            <v>6.3851109066356067E-4</v>
          </cell>
        </row>
        <row r="31">
          <cell r="C31">
            <v>0</v>
          </cell>
        </row>
        <row r="32">
          <cell r="C32">
            <v>4.4479227208808836E-3</v>
          </cell>
        </row>
        <row r="33">
          <cell r="C33">
            <v>1.0647518907566096</v>
          </cell>
        </row>
        <row r="34">
          <cell r="C34">
            <v>6.5327848861302079E-2</v>
          </cell>
        </row>
        <row r="35">
          <cell r="C35">
            <v>0</v>
          </cell>
        </row>
        <row r="36">
          <cell r="C36">
            <v>8.0763372E-2</v>
          </cell>
        </row>
        <row r="37">
          <cell r="C37">
            <v>7.0236219972991676E-2</v>
          </cell>
        </row>
        <row r="38">
          <cell r="C38">
            <v>2.4164107143868616E-2</v>
          </cell>
        </row>
        <row r="39">
          <cell r="C39">
            <v>0.88768091150899997</v>
          </cell>
        </row>
        <row r="40">
          <cell r="C40">
            <v>4.057304520621155E-3</v>
          </cell>
        </row>
        <row r="41">
          <cell r="C41">
            <v>6.8992749869112269E-4</v>
          </cell>
        </row>
        <row r="42">
          <cell r="C42">
            <v>0.29837209689047656</v>
          </cell>
        </row>
        <row r="43">
          <cell r="C43">
            <v>0.3339931407865579</v>
          </cell>
        </row>
        <row r="44">
          <cell r="C44">
            <v>1.7921723003999999E-2</v>
          </cell>
        </row>
        <row r="45">
          <cell r="C45">
            <v>0.11244437900094614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A256-0898-4614-90C4-8024E75C5158}">
  <dimension ref="A1:S7"/>
  <sheetViews>
    <sheetView tabSelected="1" workbookViewId="0">
      <selection activeCell="A7" sqref="A7:XFD7"/>
    </sheetView>
  </sheetViews>
  <sheetFormatPr defaultRowHeight="15" x14ac:dyDescent="0.25"/>
  <cols>
    <col min="1" max="16384" width="9.140625" style="3"/>
  </cols>
  <sheetData>
    <row r="1" spans="1:19" x14ac:dyDescent="0.25">
      <c r="A1" s="3" t="s">
        <v>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spans="1:19" x14ac:dyDescent="0.25">
      <c r="A2" s="3" t="s">
        <v>18</v>
      </c>
      <c r="B2" s="2">
        <v>0.98799999999999999</v>
      </c>
      <c r="C2" s="2">
        <v>0.92</v>
      </c>
      <c r="D2" s="2">
        <v>0.86199999999999999</v>
      </c>
      <c r="E2" s="2">
        <v>0.83</v>
      </c>
      <c r="F2" s="2">
        <v>0.99199999999999999</v>
      </c>
      <c r="G2" s="2">
        <v>0.86</v>
      </c>
      <c r="H2" s="2">
        <v>0.38800000000000001</v>
      </c>
      <c r="I2" s="2">
        <v>0.99</v>
      </c>
      <c r="J2" s="2">
        <v>0.85</v>
      </c>
      <c r="K2" s="2">
        <v>0.85</v>
      </c>
      <c r="L2" s="2">
        <v>0.45</v>
      </c>
      <c r="M2" s="2">
        <v>0.9</v>
      </c>
      <c r="N2" s="2">
        <v>0.875</v>
      </c>
      <c r="O2" s="2">
        <v>0.32</v>
      </c>
      <c r="P2" s="2">
        <v>0.85399999999999998</v>
      </c>
      <c r="Q2" s="2">
        <v>0.44</v>
      </c>
      <c r="R2" s="2">
        <v>0.8</v>
      </c>
      <c r="S2" s="2">
        <v>0.45</v>
      </c>
    </row>
    <row r="3" spans="1:19" x14ac:dyDescent="0.25">
      <c r="A3" s="3" t="s">
        <v>19</v>
      </c>
      <c r="B3" s="3">
        <v>0.1</v>
      </c>
      <c r="C3" s="3">
        <v>0.13</v>
      </c>
      <c r="D3" s="3">
        <v>7.0000000000000007E-2</v>
      </c>
      <c r="E3" s="3">
        <v>7.0000000000000007E-2</v>
      </c>
      <c r="F3" s="3">
        <v>0.1</v>
      </c>
      <c r="G3" s="3">
        <v>0.13</v>
      </c>
      <c r="H3" s="3">
        <v>0.09</v>
      </c>
      <c r="I3" s="3">
        <v>0.09</v>
      </c>
      <c r="J3" s="3">
        <v>7.0000000000000007E-2</v>
      </c>
      <c r="K3" s="3">
        <v>0.04</v>
      </c>
      <c r="L3" s="3">
        <v>0.08</v>
      </c>
      <c r="M3" s="3">
        <v>0.09</v>
      </c>
      <c r="N3" s="3">
        <v>0.1</v>
      </c>
      <c r="O3" s="3">
        <v>0.05</v>
      </c>
      <c r="P3" s="3">
        <v>0.06</v>
      </c>
      <c r="Q3" s="3">
        <v>0.06</v>
      </c>
      <c r="R3" s="3">
        <v>7.0000000000000007E-2</v>
      </c>
      <c r="S3" s="3">
        <v>7.0000000000000007E-2</v>
      </c>
    </row>
    <row r="4" spans="1:19" x14ac:dyDescent="0.25">
      <c r="A4" s="3" t="s">
        <v>20</v>
      </c>
      <c r="B4" s="3">
        <v>23.47</v>
      </c>
      <c r="C4" s="3">
        <v>3.7</v>
      </c>
      <c r="D4" s="3">
        <v>2.2200000000000002</v>
      </c>
      <c r="E4" s="3">
        <v>4.45</v>
      </c>
      <c r="F4" s="3">
        <v>1.93</v>
      </c>
      <c r="G4" s="3">
        <v>28.2</v>
      </c>
      <c r="H4" s="3">
        <v>1.4</v>
      </c>
      <c r="I4" s="3">
        <v>2.4700000000000002</v>
      </c>
      <c r="J4" s="3">
        <v>2.75</v>
      </c>
      <c r="K4" s="3">
        <v>6.62</v>
      </c>
      <c r="L4" s="3">
        <v>2.83</v>
      </c>
      <c r="M4" s="3">
        <v>2.76</v>
      </c>
      <c r="N4" s="3">
        <v>2.09</v>
      </c>
      <c r="O4" s="3">
        <v>2.93</v>
      </c>
      <c r="P4" s="3">
        <v>2.77</v>
      </c>
      <c r="Q4" s="3">
        <v>0.9</v>
      </c>
      <c r="R4" s="3">
        <v>2.0499999999999998</v>
      </c>
      <c r="S4" s="3">
        <v>0.71</v>
      </c>
    </row>
    <row r="5" spans="1:19" x14ac:dyDescent="0.25">
      <c r="A5" s="3" t="s">
        <v>21</v>
      </c>
      <c r="B5" s="3">
        <v>0.38</v>
      </c>
      <c r="C5" s="3">
        <v>0.38</v>
      </c>
      <c r="D5" s="3">
        <v>0.38</v>
      </c>
      <c r="E5" s="3">
        <v>0.38</v>
      </c>
      <c r="F5" s="3">
        <v>0.38</v>
      </c>
      <c r="G5" s="3">
        <v>0.38</v>
      </c>
      <c r="H5" s="3">
        <v>0.38</v>
      </c>
      <c r="I5" s="3">
        <v>0.38</v>
      </c>
      <c r="J5" s="3">
        <v>0.38</v>
      </c>
      <c r="K5" s="3">
        <v>0.38</v>
      </c>
      <c r="L5" s="3">
        <v>0.38</v>
      </c>
      <c r="M5" s="3">
        <v>0.38</v>
      </c>
      <c r="N5" s="3">
        <v>0.38</v>
      </c>
      <c r="O5" s="3">
        <v>0.38</v>
      </c>
      <c r="P5" s="3">
        <v>0.38</v>
      </c>
      <c r="Q5" s="3">
        <v>0.38</v>
      </c>
      <c r="R5" s="3">
        <v>0.38</v>
      </c>
      <c r="S5" s="3">
        <v>0.38</v>
      </c>
    </row>
    <row r="6" spans="1:19" x14ac:dyDescent="0.25">
      <c r="A6" s="3" t="s">
        <v>22</v>
      </c>
      <c r="B6" s="3">
        <v>0.2</v>
      </c>
      <c r="C6" s="3">
        <v>0.2</v>
      </c>
      <c r="D6" s="3">
        <v>0.2</v>
      </c>
      <c r="E6" s="3">
        <v>0.2</v>
      </c>
      <c r="F6" s="3">
        <v>0.2</v>
      </c>
      <c r="G6" s="3">
        <v>0.2</v>
      </c>
      <c r="H6" s="3">
        <v>0.2</v>
      </c>
      <c r="I6" s="3">
        <v>0.2</v>
      </c>
      <c r="J6" s="3">
        <v>0.2</v>
      </c>
      <c r="K6" s="3">
        <v>0.2</v>
      </c>
      <c r="L6" s="3">
        <v>0.2</v>
      </c>
      <c r="M6" s="3">
        <v>0.2</v>
      </c>
      <c r="N6" s="3">
        <v>0.2</v>
      </c>
      <c r="O6" s="3">
        <v>0.2</v>
      </c>
      <c r="P6" s="3">
        <v>0.2</v>
      </c>
      <c r="Q6" s="3">
        <v>0.2</v>
      </c>
      <c r="R6" s="3">
        <v>0.2</v>
      </c>
      <c r="S6" s="3">
        <v>0.2</v>
      </c>
    </row>
    <row r="7" spans="1:19" x14ac:dyDescent="0.25">
      <c r="A7" s="3" t="s">
        <v>24</v>
      </c>
      <c r="B7" s="3">
        <f t="array" ref="B7:S7">TRANSPOSE([1]readgtap_bio!$C$28:$C$45)</f>
        <v>1.746434956928161</v>
      </c>
      <c r="C7" s="3">
        <v>4.9846277014075784E-2</v>
      </c>
      <c r="D7" s="3">
        <v>6.3851109066356067E-4</v>
      </c>
      <c r="E7" s="3">
        <v>0</v>
      </c>
      <c r="F7" s="3">
        <v>4.4479227208808836E-3</v>
      </c>
      <c r="G7" s="3">
        <v>1.0647518907566096</v>
      </c>
      <c r="H7" s="3">
        <v>6.5327848861302079E-2</v>
      </c>
      <c r="I7" s="3">
        <v>0</v>
      </c>
      <c r="J7" s="3">
        <v>8.0763372E-2</v>
      </c>
      <c r="K7" s="3">
        <v>7.0236219972991676E-2</v>
      </c>
      <c r="L7" s="3">
        <v>2.4164107143868616E-2</v>
      </c>
      <c r="M7" s="3">
        <v>0.88768091150899997</v>
      </c>
      <c r="N7" s="3">
        <v>4.057304520621155E-3</v>
      </c>
      <c r="O7" s="3">
        <v>6.8992749869112269E-4</v>
      </c>
      <c r="P7" s="3">
        <v>0.29837209689047656</v>
      </c>
      <c r="Q7" s="3">
        <v>0.3339931407865579</v>
      </c>
      <c r="R7" s="3">
        <v>1.7921723003999999E-2</v>
      </c>
      <c r="S7" s="3">
        <v>0.11244437900094614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Chen</dc:creator>
  <cp:lastModifiedBy>Henry Chen</cp:lastModifiedBy>
  <dcterms:created xsi:type="dcterms:W3CDTF">2026-08-03T15:52:10Z</dcterms:created>
  <dcterms:modified xsi:type="dcterms:W3CDTF">2026-08-09T03:30:18Z</dcterms:modified>
</cp:coreProperties>
</file>