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\MIT Dropbox\Yen-Heng Chen\2026\2026-13_EPPAinJulia\EPPAinJulia\src\data\others\"/>
    </mc:Choice>
  </mc:AlternateContent>
  <xr:revisionPtr revIDLastSave="0" documentId="13_ncr:1_{1046D74C-DC9B-496C-8387-3E3F25C21A50}" xr6:coauthVersionLast="47" xr6:coauthVersionMax="47" xr10:uidLastSave="{00000000-0000-0000-0000-000000000000}"/>
  <bookViews>
    <workbookView xWindow="-120" yWindow="-120" windowWidth="29040" windowHeight="15720" activeTab="1" xr2:uid="{69050F7B-07FD-47B9-AC7B-A9BBF237F6D0}"/>
  </bookViews>
  <sheets>
    <sheet name="parameters" sheetId="1" r:id="rId1"/>
    <sheet name="argdpgrrate" sheetId="2" r:id="rId2"/>
    <sheet name="popa_eppa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83" i="3" l="1"/>
  <c r="R83" i="3"/>
  <c r="Q83" i="3"/>
  <c r="P83" i="3"/>
  <c r="O83" i="3"/>
  <c r="N83" i="3"/>
  <c r="M83" i="3"/>
  <c r="L83" i="3"/>
  <c r="K83" i="3"/>
  <c r="J83" i="3"/>
  <c r="I83" i="3"/>
  <c r="H83" i="3"/>
  <c r="G83" i="3"/>
  <c r="F83" i="3"/>
  <c r="E83" i="3"/>
  <c r="D83" i="3"/>
  <c r="C83" i="3"/>
  <c r="B83" i="3"/>
  <c r="S82" i="3"/>
  <c r="R82" i="3"/>
  <c r="Q82" i="3"/>
  <c r="P82" i="3"/>
  <c r="O82" i="3"/>
  <c r="N82" i="3"/>
  <c r="M82" i="3"/>
  <c r="L82" i="3"/>
  <c r="K82" i="3"/>
  <c r="J82" i="3"/>
  <c r="I82" i="3"/>
  <c r="H82" i="3"/>
  <c r="G82" i="3"/>
  <c r="F82" i="3"/>
  <c r="E82" i="3"/>
  <c r="D82" i="3"/>
  <c r="C82" i="3"/>
  <c r="B82" i="3"/>
  <c r="S81" i="3"/>
  <c r="R81" i="3"/>
  <c r="Q81" i="3"/>
  <c r="P81" i="3"/>
  <c r="O81" i="3"/>
  <c r="N81" i="3"/>
  <c r="M81" i="3"/>
  <c r="L81" i="3"/>
  <c r="K81" i="3"/>
  <c r="J81" i="3"/>
  <c r="I81" i="3"/>
  <c r="H81" i="3"/>
  <c r="G81" i="3"/>
  <c r="F81" i="3"/>
  <c r="E81" i="3"/>
  <c r="D81" i="3"/>
  <c r="C81" i="3"/>
  <c r="B81" i="3"/>
  <c r="S80" i="3"/>
  <c r="R80" i="3"/>
  <c r="Q80" i="3"/>
  <c r="P80" i="3"/>
  <c r="O80" i="3"/>
  <c r="N80" i="3"/>
  <c r="M80" i="3"/>
  <c r="L80" i="3"/>
  <c r="K80" i="3"/>
  <c r="J80" i="3"/>
  <c r="I80" i="3"/>
  <c r="H80" i="3"/>
  <c r="G80" i="3"/>
  <c r="F80" i="3"/>
  <c r="E80" i="3"/>
  <c r="D80" i="3"/>
  <c r="C80" i="3"/>
  <c r="B80" i="3"/>
  <c r="S78" i="3"/>
  <c r="R78" i="3"/>
  <c r="Q78" i="3"/>
  <c r="P78" i="3"/>
  <c r="O78" i="3"/>
  <c r="N78" i="3"/>
  <c r="M78" i="3"/>
  <c r="L78" i="3"/>
  <c r="K78" i="3"/>
  <c r="J78" i="3"/>
  <c r="I78" i="3"/>
  <c r="H78" i="3"/>
  <c r="G78" i="3"/>
  <c r="F78" i="3"/>
  <c r="E78" i="3"/>
  <c r="D78" i="3"/>
  <c r="C78" i="3"/>
  <c r="B78" i="3"/>
  <c r="S77" i="3"/>
  <c r="R77" i="3"/>
  <c r="Q77" i="3"/>
  <c r="P77" i="3"/>
  <c r="O77" i="3"/>
  <c r="N77" i="3"/>
  <c r="M77" i="3"/>
  <c r="L77" i="3"/>
  <c r="K77" i="3"/>
  <c r="J77" i="3"/>
  <c r="I77" i="3"/>
  <c r="H77" i="3"/>
  <c r="G77" i="3"/>
  <c r="F77" i="3"/>
  <c r="E77" i="3"/>
  <c r="D77" i="3"/>
  <c r="C77" i="3"/>
  <c r="B77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76" i="3"/>
  <c r="B76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75" i="3"/>
  <c r="B75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73" i="3"/>
  <c r="B73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72" i="3"/>
  <c r="B72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71" i="3"/>
  <c r="B71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70" i="3"/>
  <c r="B70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68" i="3"/>
  <c r="B68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B48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B47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B38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B5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B78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77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B76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B75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B73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B72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B71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B70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B68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B67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B66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B65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B63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B62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B61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B60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58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B57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B56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B23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B10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C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C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B8" i="2"/>
  <c r="B7" i="2"/>
  <c r="B6" i="2"/>
  <c r="B5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S84" i="3"/>
  <c r="R84" i="3"/>
  <c r="Q84" i="3"/>
  <c r="P84" i="3"/>
  <c r="O84" i="3"/>
  <c r="N84" i="3"/>
  <c r="M84" i="3"/>
  <c r="L84" i="3"/>
  <c r="K84" i="3"/>
  <c r="J84" i="3"/>
  <c r="I84" i="3"/>
  <c r="H84" i="3"/>
  <c r="G84" i="3"/>
  <c r="F84" i="3"/>
  <c r="E84" i="3"/>
  <c r="D84" i="3"/>
  <c r="C84" i="3"/>
  <c r="B84" i="3"/>
  <c r="B7" i="1" l="1" a="1"/>
  <c r="B7" i="1" s="1"/>
  <c r="S7" i="1" l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</author>
  </authors>
  <commentList>
    <comment ref="A2" authorId="0" shapeId="0" xr:uid="{682DE5ED-2C28-472A-935E-DD78E3C266E1}">
      <text>
        <r>
          <rPr>
            <b/>
            <sz val="9"/>
            <color indexed="81"/>
            <rFont val="Tahoma"/>
            <family val="2"/>
          </rPr>
          <t>Henry:</t>
        </r>
        <r>
          <rPr>
            <sz val="9"/>
            <color indexed="81"/>
            <rFont val="Tahoma"/>
            <family val="2"/>
          </rPr>
          <t xml:space="preserve">
Share of transport usage of refined oil in household sector</t>
        </r>
      </text>
    </comment>
    <comment ref="A3" authorId="0" shapeId="0" xr:uid="{7D826E08-D24A-4E37-9F9E-9255066B6C69}">
      <text>
        <r>
          <rPr>
            <b/>
            <sz val="9"/>
            <color indexed="81"/>
            <rFont val="Tahoma"/>
            <family val="2"/>
          </rPr>
          <t>Henry:</t>
        </r>
        <r>
          <rPr>
            <sz val="9"/>
            <color indexed="81"/>
            <rFont val="Tahoma"/>
            <family val="2"/>
          </rPr>
          <t xml:space="preserve">
Own-supply expenditure share</t>
        </r>
      </text>
    </comment>
    <comment ref="A4" authorId="0" shapeId="0" xr:uid="{8725258A-A493-49B9-9BBD-1F3DE6167451}">
      <text>
        <r>
          <rPr>
            <b/>
            <sz val="9"/>
            <color indexed="81"/>
            <rFont val="Tahoma"/>
            <family val="2"/>
          </rPr>
          <t>Henry:</t>
        </r>
        <r>
          <rPr>
            <sz val="9"/>
            <color indexed="81"/>
            <rFont val="Tahoma"/>
            <family val="2"/>
          </rPr>
          <t xml:space="preserve">
Vehicle fleet rental value as an input to HH vehicle transportation. Also known as mvh in EPPA8</t>
        </r>
      </text>
    </comment>
    <comment ref="A5" authorId="0" shapeId="0" xr:uid="{0EB395D0-9897-40CE-BCC0-26DB4D45CDDB}">
      <text>
        <r>
          <rPr>
            <b/>
            <sz val="9"/>
            <color indexed="81"/>
            <rFont val="Tahoma"/>
            <family val="2"/>
          </rPr>
          <t>Henry:</t>
        </r>
        <r>
          <rPr>
            <sz val="9"/>
            <color indexed="81"/>
            <rFont val="Tahoma"/>
            <family val="2"/>
          </rPr>
          <t xml:space="preserve">
New vehicle shares. Data source: See D:\Dropbox (MIT)\work\Projects\Sergey-John-2017-02-Outlook 2017\hhtran-new\hhtran-new-20170404.xlsx
Orignal data source: Table 10.5 and 10.6 in EPA (2016): https://nepis.epa.gov/Exe/ZyPDF.cgi/P100OXEO.PDF?Dockey=P100OXEO.PDF</t>
        </r>
      </text>
    </comment>
    <comment ref="A6" authorId="0" shapeId="0" xr:uid="{A4469025-1407-40B9-A5AC-E1FF81B37B5E}">
      <text>
        <r>
          <rPr>
            <b/>
            <sz val="9"/>
            <color indexed="81"/>
            <rFont val="Tahoma"/>
            <family val="2"/>
          </rPr>
          <t>Henry:</t>
        </r>
        <r>
          <rPr>
            <sz val="9"/>
            <color indexed="81"/>
            <rFont val="Tahoma"/>
            <family val="2"/>
          </rPr>
          <t xml:space="preserve">
Fraction of vehicle capital expenditures devoted to propulsion system (the number is from EPPA5-Outlook)</t>
        </r>
      </text>
    </comment>
    <comment ref="A7" authorId="0" shapeId="0" xr:uid="{B0B4B22E-9D5C-4DB0-8E5E-0166337DB44E}">
      <text>
        <r>
          <rPr>
            <b/>
            <sz val="9"/>
            <color indexed="81"/>
            <rFont val="Tahoma"/>
            <family val="2"/>
          </rPr>
          <t>Henry:</t>
        </r>
        <r>
          <rPr>
            <sz val="9"/>
            <color indexed="81"/>
            <rFont val="Tahoma"/>
            <family val="2"/>
          </rPr>
          <t xml:space="preserve">
Commercial biofuels in the base year (EJ)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</author>
  </authors>
  <commentList>
    <comment ref="A2" authorId="0" shapeId="0" xr:uid="{BC41645A-5F2E-44CD-BB76-C8FFB1A50469}">
      <text>
        <r>
          <rPr>
            <b/>
            <sz val="9"/>
            <color indexed="81"/>
            <rFont val="Tahoma"/>
            <family val="2"/>
          </rPr>
          <t>Henry:</t>
        </r>
        <r>
          <rPr>
            <sz val="9"/>
            <color indexed="81"/>
            <rFont val="Tahoma"/>
            <family val="2"/>
          </rPr>
          <t xml:space="preserve">
EPPA8 2025 numbers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Henry</author>
  </authors>
  <commentList>
    <comment ref="A2" authorId="0" shapeId="0" xr:uid="{0F9F547E-159C-41FB-B7A8-11BF454DDC00}">
      <text>
        <r>
          <rPr>
            <b/>
            <sz val="9"/>
            <color indexed="81"/>
            <rFont val="Tahoma"/>
            <family val="2"/>
          </rPr>
          <t>Henry:</t>
        </r>
        <r>
          <rPr>
            <sz val="9"/>
            <color indexed="81"/>
            <rFont val="Tahoma"/>
            <family val="2"/>
          </rPr>
          <t xml:space="preserve">
EPPA 8 2020-2025 interpolation</t>
        </r>
      </text>
    </comment>
  </commentList>
</comments>
</file>

<file path=xl/sharedStrings.xml><?xml version="1.0" encoding="utf-8"?>
<sst xmlns="http://schemas.openxmlformats.org/spreadsheetml/2006/main" count="63" uniqueCount="26">
  <si>
    <t>USA</t>
  </si>
  <si>
    <t>CAN</t>
  </si>
  <si>
    <t>MEX</t>
  </si>
  <si>
    <t>JPN</t>
  </si>
  <si>
    <t>ANZ</t>
  </si>
  <si>
    <t>EUR</t>
  </si>
  <si>
    <t>ROE</t>
  </si>
  <si>
    <t>RUS</t>
  </si>
  <si>
    <t>ASI</t>
  </si>
  <si>
    <t>CHN</t>
  </si>
  <si>
    <t>IND</t>
  </si>
  <si>
    <t>BRA</t>
  </si>
  <si>
    <t>AFR</t>
  </si>
  <si>
    <t>MES</t>
  </si>
  <si>
    <t>LAM</t>
  </si>
  <si>
    <t>REA</t>
  </si>
  <si>
    <t>KOR</t>
  </si>
  <si>
    <t>IDZ</t>
  </si>
  <si>
    <t>os</t>
  </si>
  <si>
    <t>es</t>
  </si>
  <si>
    <t>toi</t>
  </si>
  <si>
    <t>htrns</t>
  </si>
  <si>
    <t>propfrac</t>
  </si>
  <si>
    <t>parameter</t>
  </si>
  <si>
    <t>bio_baseyear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</si>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</sst>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 applyAlignment="1">
      <alignment horizontal="left"/>
    </xf>
    <xf numFmtId="2" fontId="0" fillId="0" borderId="0" xfId="0" applyNumberFormat="1" applyAlignment="1">
      <alignment horizontal="right"/>
    </xf>
    <xf numFmtId="2" fontId="0" fillId="0" borderId="0" xfId="0" applyNumberFormat="1"/>
    <xf numFmtId="164" fontId="0" fillId="0" borderId="0" xfId="0" applyNumberFormat="1"/>
    <xf numFmtId="2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satellite0.xlsx" TargetMode="External"/><Relationship Id="rId2" Type="http://schemas.openxmlformats.org/officeDocument/2006/relationships/externalLinkPath" Target="file:///D:\work\MIT%20Dropbox\Yen-Heng%20Chen\2026\2026-13_EPPAinJulia\satellite0.xlsx" TargetMode="External"/><Relationship Id="rId1" Type="http://schemas.openxmlformats.org/officeDocument/2006/relationships/externalLinkPath" Target="/work/MIT%20Dropbox/Yen-Heng%20Chen/2026/2026-13_EPPAinJulia/satellite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"/>
      <sheetName val="eppaback_bcin"/>
      <sheetName val="eppaback_bcin_latam"/>
      <sheetName val="eppaback_bsf"/>
      <sheetName val="eppaback_bsin0"/>
      <sheetName val="eppaback_rshale_etc"/>
      <sheetName val="eppaback_bsout0"/>
      <sheetName val="eppaback_ceff"/>
      <sheetName val="eppaback_ejpereuse"/>
      <sheetName val="eppaback_elec10_8"/>
      <sheetName val="eppaback_odt_ha"/>
      <sheetName val="efficiency"/>
      <sheetName val="eppaback_eff_adj"/>
      <sheetName val="eppaback_biofgcostshr"/>
      <sheetName val="elecpower_nhreta"/>
      <sheetName val="elecpower_wstsigma"/>
      <sheetName val="readgtap_bio"/>
      <sheetName val="readgtap_co2f_iea"/>
      <sheetName val="readgtap_ej_use_iea"/>
      <sheetName val="readgtap_eprod_iea"/>
      <sheetName val="readgtap_histgen_t"/>
      <sheetName val="readgtap_tsout_t"/>
      <sheetName val="eppaelas_d_elas"/>
      <sheetName val="eppaelas_elasadj"/>
      <sheetName val="eppaelas_esube"/>
      <sheetName val="eppaelas_esup"/>
      <sheetName val="eppaelas_price07_e4"/>
      <sheetName val="eppaelas_selas"/>
      <sheetName val="eppaelas_sigg"/>
      <sheetName val="eppaelas_siggv"/>
      <sheetName val="eppaelas_sigu"/>
      <sheetName val="eppaelas_vdfmplusvifm"/>
      <sheetName val="eppaelas_usda"/>
      <sheetName val="eppaelas_elas_t"/>
      <sheetName val="eppaghg_cemco20"/>
      <sheetName val="eppaghg_defco20"/>
      <sheetName val="eppaghg_oghg0_BOC"/>
      <sheetName val="eppaghg_cghg00_BOC"/>
      <sheetName val="eppatrend_aeeigr"/>
      <sheetName val="eppatrend_argdpgrrate"/>
      <sheetName val="eppatrend_bioff"/>
      <sheetName val="eppatrend_biofgsub_t"/>
      <sheetName val="eppatrend_eid_ghg_up_t"/>
      <sheetName val="eppatrend_eid_ghg_lo_t"/>
      <sheetName val="eppatrend_a_up_t"/>
      <sheetName val="eppatrend_a_lo_t"/>
      <sheetName val="eppatrend_iea"/>
      <sheetName val="eppatrend_eppa_pre"/>
      <sheetName val="eppatrend_ieae"/>
      <sheetName val="eppatrend_eppae_pre"/>
      <sheetName val="eppatrend_tradbioenergy"/>
      <sheetName val="eppatrend_emkup_tar"/>
      <sheetName val="eppatrend_fadjt"/>
      <sheetName val="eppatrend_gasres04"/>
      <sheetName val="GDP (2015 constant USD)"/>
      <sheetName val="eppatrend_histrgdp"/>
      <sheetName val="eppatrend_h_r_trend"/>
      <sheetName val="eppatrend_r_r_trend"/>
      <sheetName val="eppatrend_n_r_trend"/>
      <sheetName val="eppatrend_lprod_f_t"/>
      <sheetName val="eppatrend_nmkup"/>
      <sheetName val="eppatrend_radjt"/>
      <sheetName val="eppatrend_rates"/>
      <sheetName val="eppatrend_res950"/>
      <sheetName val="eppatrend_rsize_t"/>
      <sheetName val="eppatrend_popa_eppa"/>
      <sheetName val="eppatrend_ghg_adj"/>
      <sheetName val="eppatrend_urb_adj"/>
      <sheetName val="eppa_htrn_a_evtrn"/>
      <sheetName val="eppa_htrn_es"/>
      <sheetName val="eppa_htrn_hhtraninc"/>
      <sheetName val="mvh"/>
      <sheetName val="eppa_htrn_mvh"/>
      <sheetName val="eppa_htrn_os"/>
      <sheetName val="eppa_htrn_vehstk0"/>
      <sheetName val="eppa_htrn_vehstkbev0"/>
      <sheetName val="eppa_htrn_vfe"/>
      <sheetName val="eppa_htrn_vmt0"/>
      <sheetName val="eppa_htrn_qpf_htrn_t"/>
      <sheetName val="eppa_htrn_htrnown_t_solve"/>
      <sheetName val="eppa_htrn_m_totalicestk_initial"/>
      <sheetName val="eppa_htrn_m_totalvehstk_initial"/>
      <sheetName val="eppa_htrn_totalevstk_lo_t"/>
      <sheetName val="eppa_htrn_totalicestk_up_t"/>
      <sheetName val="eppa_htrn_share_ev_hist"/>
      <sheetName val="eppa_htrn_share_ev_lower"/>
      <sheetName val="eppa_htrn_bbres_evtrn"/>
      <sheetName val="cem_def_cem_ref_e5"/>
      <sheetName val="cem_def_def_ref_e6"/>
      <sheetName val="cem_def_cem_pol_e5"/>
      <sheetName val="cem_def_def_pol_e5"/>
      <sheetName val="ghg_trend_ch4_agri"/>
      <sheetName val="ghg_trend_ch4_eint"/>
      <sheetName val="ghg_trend_ch4_othr"/>
      <sheetName val="ghg_trend_ch4_fd"/>
      <sheetName val="ghg_trend_n2o_agri"/>
      <sheetName val="ghg_trend_n2o_eint"/>
      <sheetName val="ghg_trend_n2o_allother"/>
      <sheetName val="ghg_trend_pfc_eint"/>
      <sheetName val="ghg_trend_pfc_othr"/>
      <sheetName val="ghg_trend_hfc_othr"/>
      <sheetName val="ghg_trend_sf6_eint"/>
      <sheetName val="ghg_trend_sf6_elec"/>
      <sheetName val="ghg_trend_sf6_othr"/>
      <sheetName val="ghg_trend_chmco2_e5_tchm_"/>
      <sheetName val="ghg_trend_chmghg_e5_tchm_"/>
      <sheetName val="ghg_trend_chmurb_e5_tchm_"/>
      <sheetName val="hist_emissions_rep"/>
      <sheetName val="eppacalib_crtable"/>
      <sheetName val="eppacalib_ncuse"/>
      <sheetName val="eppaluc_Area_GTAP"/>
      <sheetName val="eppaluc_VFM_GTAP"/>
      <sheetName val="eppaluc_VFM_GTAP10"/>
      <sheetName val="eppaluc_Pland"/>
      <sheetName val="eppaluc_land_tem"/>
      <sheetName val="eppaluc_land_tem_"/>
      <sheetName val="eppaluc_land_tem_t"/>
      <sheetName val="eppaluc_land_fao_t"/>
      <sheetName val="eppaluc_land_fao_t_"/>
      <sheetName val="eppaluc_nat_tran"/>
      <sheetName val="eppaluc_benchdef"/>
      <sheetName val="eppaluc_soil_veg_carb"/>
      <sheetName val="eppaluc_soil_carb"/>
      <sheetName val="eppaluc_h_luc"/>
      <sheetName val="eppaluc_EPPA7_phm"/>
      <sheetName val="eppaluc_adj_bio"/>
      <sheetName val="eppaluc_yield_tgt"/>
      <sheetName val="eppaluc_biofg_tgt_mkp"/>
      <sheetName val="eppaluc_bioccsmk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A256-0898-4614-90C4-8024E75C5158}">
  <dimension ref="A1:S7"/>
  <sheetViews>
    <sheetView workbookViewId="0">
      <selection activeCell="B1" sqref="B1:S1"/>
    </sheetView>
  </sheetViews>
  <sheetFormatPr defaultRowHeight="15" x14ac:dyDescent="0.25"/>
  <cols>
    <col min="1" max="16384" width="9.140625" style="3"/>
  </cols>
  <sheetData>
    <row r="1" spans="1:19" x14ac:dyDescent="0.25">
      <c r="A1" s="3" t="s">
        <v>23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spans="1:19" x14ac:dyDescent="0.25">
      <c r="A2" s="3" t="s">
        <v>18</v>
      </c>
      <c r="B2" s="2">
        <v>0.98799999999999999</v>
      </c>
      <c r="C2" s="2">
        <v>0.92</v>
      </c>
      <c r="D2" s="2">
        <v>0.86199999999999999</v>
      </c>
      <c r="E2" s="2">
        <v>0.83</v>
      </c>
      <c r="F2" s="2">
        <v>0.99199999999999999</v>
      </c>
      <c r="G2" s="2">
        <v>0.86</v>
      </c>
      <c r="H2" s="2">
        <v>0.38800000000000001</v>
      </c>
      <c r="I2" s="2">
        <v>0.99</v>
      </c>
      <c r="J2" s="2">
        <v>0.85</v>
      </c>
      <c r="K2" s="2">
        <v>0.85</v>
      </c>
      <c r="L2" s="2">
        <v>0.45</v>
      </c>
      <c r="M2" s="2">
        <v>0.9</v>
      </c>
      <c r="N2" s="2">
        <v>0.875</v>
      </c>
      <c r="O2" s="2">
        <v>0.32</v>
      </c>
      <c r="P2" s="2">
        <v>0.85399999999999998</v>
      </c>
      <c r="Q2" s="2">
        <v>0.44</v>
      </c>
      <c r="R2" s="2">
        <v>0.8</v>
      </c>
      <c r="S2" s="2">
        <v>0.45</v>
      </c>
    </row>
    <row r="3" spans="1:19" x14ac:dyDescent="0.25">
      <c r="A3" s="3" t="s">
        <v>19</v>
      </c>
      <c r="B3" s="3">
        <v>0.1</v>
      </c>
      <c r="C3" s="3">
        <v>0.13</v>
      </c>
      <c r="D3" s="3">
        <v>7.0000000000000007E-2</v>
      </c>
      <c r="E3" s="3">
        <v>7.0000000000000007E-2</v>
      </c>
      <c r="F3" s="3">
        <v>0.1</v>
      </c>
      <c r="G3" s="3">
        <v>0.13</v>
      </c>
      <c r="H3" s="3">
        <v>0.09</v>
      </c>
      <c r="I3" s="3">
        <v>0.09</v>
      </c>
      <c r="J3" s="3">
        <v>7.0000000000000007E-2</v>
      </c>
      <c r="K3" s="3">
        <v>0.04</v>
      </c>
      <c r="L3" s="3">
        <v>0.08</v>
      </c>
      <c r="M3" s="3">
        <v>0.09</v>
      </c>
      <c r="N3" s="3">
        <v>0.1</v>
      </c>
      <c r="O3" s="3">
        <v>0.05</v>
      </c>
      <c r="P3" s="3">
        <v>0.06</v>
      </c>
      <c r="Q3" s="3">
        <v>0.06</v>
      </c>
      <c r="R3" s="3">
        <v>7.0000000000000007E-2</v>
      </c>
      <c r="S3" s="3">
        <v>7.0000000000000007E-2</v>
      </c>
    </row>
    <row r="4" spans="1:19" x14ac:dyDescent="0.25">
      <c r="A4" s="3" t="s">
        <v>20</v>
      </c>
      <c r="B4" s="3">
        <v>23.47</v>
      </c>
      <c r="C4" s="3">
        <v>3.7</v>
      </c>
      <c r="D4" s="3">
        <v>2.2200000000000002</v>
      </c>
      <c r="E4" s="3">
        <v>4.45</v>
      </c>
      <c r="F4" s="3">
        <v>1.93</v>
      </c>
      <c r="G4" s="3">
        <v>28.2</v>
      </c>
      <c r="H4" s="3">
        <v>1.4</v>
      </c>
      <c r="I4" s="3">
        <v>2.4700000000000002</v>
      </c>
      <c r="J4" s="3">
        <v>2.75</v>
      </c>
      <c r="K4" s="3">
        <v>6.62</v>
      </c>
      <c r="L4" s="3">
        <v>2.83</v>
      </c>
      <c r="M4" s="3">
        <v>2.76</v>
      </c>
      <c r="N4" s="3">
        <v>2.09</v>
      </c>
      <c r="O4" s="3">
        <v>2.93</v>
      </c>
      <c r="P4" s="3">
        <v>2.77</v>
      </c>
      <c r="Q4" s="3">
        <v>0.9</v>
      </c>
      <c r="R4" s="3">
        <v>2.0499999999999998</v>
      </c>
      <c r="S4" s="3">
        <v>0.71</v>
      </c>
    </row>
    <row r="5" spans="1:19" x14ac:dyDescent="0.25">
      <c r="A5" s="3" t="s">
        <v>21</v>
      </c>
      <c r="B5" s="3">
        <v>0.38</v>
      </c>
      <c r="C5" s="3">
        <v>0.38</v>
      </c>
      <c r="D5" s="3">
        <v>0.38</v>
      </c>
      <c r="E5" s="3">
        <v>0.38</v>
      </c>
      <c r="F5" s="3">
        <v>0.38</v>
      </c>
      <c r="G5" s="3">
        <v>0.38</v>
      </c>
      <c r="H5" s="3">
        <v>0.38</v>
      </c>
      <c r="I5" s="3">
        <v>0.38</v>
      </c>
      <c r="J5" s="3">
        <v>0.38</v>
      </c>
      <c r="K5" s="3">
        <v>0.38</v>
      </c>
      <c r="L5" s="3">
        <v>0.38</v>
      </c>
      <c r="M5" s="3">
        <v>0.38</v>
      </c>
      <c r="N5" s="3">
        <v>0.38</v>
      </c>
      <c r="O5" s="3">
        <v>0.38</v>
      </c>
      <c r="P5" s="3">
        <v>0.38</v>
      </c>
      <c r="Q5" s="3">
        <v>0.38</v>
      </c>
      <c r="R5" s="3">
        <v>0.38</v>
      </c>
      <c r="S5" s="3">
        <v>0.38</v>
      </c>
    </row>
    <row r="6" spans="1:19" x14ac:dyDescent="0.25">
      <c r="A6" s="3" t="s">
        <v>22</v>
      </c>
      <c r="B6" s="3">
        <v>0.2</v>
      </c>
      <c r="C6" s="3">
        <v>0.2</v>
      </c>
      <c r="D6" s="3">
        <v>0.2</v>
      </c>
      <c r="E6" s="3">
        <v>0.2</v>
      </c>
      <c r="F6" s="3">
        <v>0.2</v>
      </c>
      <c r="G6" s="3">
        <v>0.2</v>
      </c>
      <c r="H6" s="3">
        <v>0.2</v>
      </c>
      <c r="I6" s="3">
        <v>0.2</v>
      </c>
      <c r="J6" s="3">
        <v>0.2</v>
      </c>
      <c r="K6" s="3">
        <v>0.2</v>
      </c>
      <c r="L6" s="3">
        <v>0.2</v>
      </c>
      <c r="M6" s="3">
        <v>0.2</v>
      </c>
      <c r="N6" s="3">
        <v>0.2</v>
      </c>
      <c r="O6" s="3">
        <v>0.2</v>
      </c>
      <c r="P6" s="3">
        <v>0.2</v>
      </c>
      <c r="Q6" s="3">
        <v>0.2</v>
      </c>
      <c r="R6" s="3">
        <v>0.2</v>
      </c>
      <c r="S6" s="3">
        <v>0.2</v>
      </c>
    </row>
    <row r="7" spans="1:19" x14ac:dyDescent="0.25">
      <c r="A7" s="3" t="s">
        <v>24</v>
      </c>
      <c r="B7" s="3">
        <f t="array" ref="B7:S7">TRANSPOSE([1]readgtap_bio!$C$28:$C$45)</f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1F6A-FA2C-4A28-888D-BCDFC50C8C79}">
  <dimension ref="A1:S79"/>
  <sheetViews>
    <sheetView tabSelected="1" workbookViewId="0">
      <selection activeCell="B75" sqref="B75:S78"/>
    </sheetView>
  </sheetViews>
  <sheetFormatPr defaultRowHeight="15" x14ac:dyDescent="0.25"/>
  <sheetData>
    <row r="1" spans="1:19" x14ac:dyDescent="0.25">
      <c r="A1" t="s">
        <v>25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</row>
    <row r="2" spans="1:19" x14ac:dyDescent="0.25">
      <c r="A2">
        <v>2023</v>
      </c>
      <c r="B2" s="4">
        <v>2.3682265429612447E-2</v>
      </c>
      <c r="C2" s="4">
        <v>2.9724594735724114E-2</v>
      </c>
      <c r="D2" s="4">
        <v>0.02</v>
      </c>
      <c r="E2" s="4">
        <v>8.3413431830521908E-3</v>
      </c>
      <c r="F2" s="4">
        <v>2.8081103542524063E-2</v>
      </c>
      <c r="G2" s="4">
        <v>1.6708505942786653E-2</v>
      </c>
      <c r="H2" s="4">
        <v>2.4E-2</v>
      </c>
      <c r="I2" s="4">
        <v>1.1000000000000001E-2</v>
      </c>
      <c r="J2" s="4">
        <v>3.7999999999999999E-2</v>
      </c>
      <c r="K2" s="4">
        <v>4.2736599245274516E-2</v>
      </c>
      <c r="L2" s="4">
        <v>6.4000000000000001E-2</v>
      </c>
      <c r="M2" s="4">
        <v>3.3917385064212879E-2</v>
      </c>
      <c r="N2" s="4">
        <v>4.9679066361608099E-2</v>
      </c>
      <c r="O2" s="4">
        <v>4.3314692360027246E-2</v>
      </c>
      <c r="P2" s="4">
        <v>2.6000000000000002E-2</v>
      </c>
      <c r="Q2" s="4">
        <v>4.7E-2</v>
      </c>
      <c r="R2" s="4">
        <v>1.9E-2</v>
      </c>
      <c r="S2" s="4">
        <v>4.9000000000000002E-2</v>
      </c>
    </row>
    <row r="3" spans="1:19" x14ac:dyDescent="0.25">
      <c r="A3">
        <v>2024</v>
      </c>
      <c r="B3" s="4">
        <f>B2</f>
        <v>2.3682265429612447E-2</v>
      </c>
      <c r="C3" s="4">
        <f t="shared" ref="C3:S3" si="0">C2</f>
        <v>2.9724594735724114E-2</v>
      </c>
      <c r="D3" s="4">
        <f t="shared" si="0"/>
        <v>0.02</v>
      </c>
      <c r="E3" s="4">
        <f t="shared" si="0"/>
        <v>8.3413431830521908E-3</v>
      </c>
      <c r="F3" s="4">
        <f t="shared" si="0"/>
        <v>2.8081103542524063E-2</v>
      </c>
      <c r="G3" s="4">
        <f t="shared" si="0"/>
        <v>1.6708505942786653E-2</v>
      </c>
      <c r="H3" s="4">
        <f t="shared" si="0"/>
        <v>2.4E-2</v>
      </c>
      <c r="I3" s="4">
        <f t="shared" si="0"/>
        <v>1.1000000000000001E-2</v>
      </c>
      <c r="J3" s="4">
        <f t="shared" si="0"/>
        <v>3.7999999999999999E-2</v>
      </c>
      <c r="K3" s="4">
        <f t="shared" si="0"/>
        <v>4.2736599245274516E-2</v>
      </c>
      <c r="L3" s="4">
        <f t="shared" si="0"/>
        <v>6.4000000000000001E-2</v>
      </c>
      <c r="M3" s="4">
        <f t="shared" si="0"/>
        <v>3.3917385064212879E-2</v>
      </c>
      <c r="N3" s="4">
        <f t="shared" si="0"/>
        <v>4.9679066361608099E-2</v>
      </c>
      <c r="O3" s="4">
        <f t="shared" si="0"/>
        <v>4.3314692360027246E-2</v>
      </c>
      <c r="P3" s="4">
        <f t="shared" si="0"/>
        <v>2.6000000000000002E-2</v>
      </c>
      <c r="Q3" s="4">
        <f t="shared" si="0"/>
        <v>4.7E-2</v>
      </c>
      <c r="R3" s="4">
        <f t="shared" si="0"/>
        <v>1.9E-2</v>
      </c>
      <c r="S3" s="4">
        <f t="shared" si="0"/>
        <v>4.9000000000000002E-2</v>
      </c>
    </row>
    <row r="4" spans="1:19" x14ac:dyDescent="0.25">
      <c r="A4">
        <v>2025</v>
      </c>
      <c r="B4" s="4">
        <v>2.3682265429612447E-2</v>
      </c>
      <c r="C4" s="4">
        <v>2.9724594735724114E-2</v>
      </c>
      <c r="D4" s="4">
        <v>0.02</v>
      </c>
      <c r="E4" s="4">
        <v>8.3413431830521908E-3</v>
      </c>
      <c r="F4" s="4">
        <v>2.8081103542524063E-2</v>
      </c>
      <c r="G4" s="4">
        <v>1.6708505942786653E-2</v>
      </c>
      <c r="H4" s="4">
        <v>2.4E-2</v>
      </c>
      <c r="I4" s="4">
        <v>1.1000000000000001E-2</v>
      </c>
      <c r="J4" s="4">
        <v>3.7999999999999999E-2</v>
      </c>
      <c r="K4" s="4">
        <v>4.2736599245274516E-2</v>
      </c>
      <c r="L4" s="4">
        <v>6.4000000000000001E-2</v>
      </c>
      <c r="M4" s="4">
        <v>3.3917385064212879E-2</v>
      </c>
      <c r="N4" s="4">
        <v>4.9679066361608099E-2</v>
      </c>
      <c r="O4" s="4">
        <v>4.3314692360027246E-2</v>
      </c>
      <c r="P4" s="4">
        <v>2.6000000000000002E-2</v>
      </c>
      <c r="Q4" s="4">
        <v>4.7E-2</v>
      </c>
      <c r="R4" s="4">
        <v>1.9E-2</v>
      </c>
      <c r="S4" s="4">
        <v>4.9000000000000002E-2</v>
      </c>
    </row>
    <row r="5" spans="1:19" x14ac:dyDescent="0.25">
      <c r="A5">
        <v>2026</v>
      </c>
      <c r="B5" s="4">
        <f>0.8*B4+0.2*B9</f>
        <v>2.3067571509143403E-2</v>
      </c>
      <c r="C5" s="4">
        <f t="shared" ref="C5:S5" si="1">0.8*C4+0.2*C9</f>
        <v>2.9281873847276017E-2</v>
      </c>
      <c r="D5" s="4">
        <f t="shared" si="1"/>
        <v>2.1999999999999999E-2</v>
      </c>
      <c r="E5" s="4">
        <f t="shared" si="1"/>
        <v>8.5699768369367716E-3</v>
      </c>
      <c r="F5" s="4">
        <f t="shared" si="1"/>
        <v>2.7660752873059271E-2</v>
      </c>
      <c r="G5" s="4">
        <f t="shared" si="1"/>
        <v>1.6366804754229324E-2</v>
      </c>
      <c r="H5" s="4">
        <f t="shared" si="1"/>
        <v>2.52E-2</v>
      </c>
      <c r="I5" s="4">
        <f t="shared" si="1"/>
        <v>1.1800000000000001E-2</v>
      </c>
      <c r="J5" s="4">
        <f t="shared" si="1"/>
        <v>3.6922193951248759E-2</v>
      </c>
      <c r="K5" s="4">
        <f t="shared" si="1"/>
        <v>4.1657916310116561E-2</v>
      </c>
      <c r="L5" s="4">
        <f t="shared" si="1"/>
        <v>6.3372637460645947E-2</v>
      </c>
      <c r="M5" s="4">
        <f t="shared" si="1"/>
        <v>3.3133908051370307E-2</v>
      </c>
      <c r="N5" s="4">
        <f t="shared" si="1"/>
        <v>4.8670027975713182E-2</v>
      </c>
      <c r="O5" s="4">
        <f t="shared" si="1"/>
        <v>4.1651753888021795E-2</v>
      </c>
      <c r="P5" s="4">
        <f t="shared" si="1"/>
        <v>2.6800000000000004E-2</v>
      </c>
      <c r="Q5" s="4">
        <f t="shared" si="1"/>
        <v>4.6743917369447101E-2</v>
      </c>
      <c r="R5" s="4">
        <f t="shared" si="1"/>
        <v>2.12E-2</v>
      </c>
      <c r="S5" s="4">
        <f t="shared" si="1"/>
        <v>4.684788930867885E-2</v>
      </c>
    </row>
    <row r="6" spans="1:19" x14ac:dyDescent="0.25">
      <c r="A6">
        <v>2027</v>
      </c>
      <c r="B6" s="4">
        <f>0.6*B4+0.4*B9</f>
        <v>2.2452877588674359E-2</v>
      </c>
      <c r="C6" s="4">
        <f t="shared" ref="C6:S6" si="2">0.6*C4+0.4*C9</f>
        <v>2.8839152958827916E-2</v>
      </c>
      <c r="D6" s="4">
        <f t="shared" si="2"/>
        <v>2.4E-2</v>
      </c>
      <c r="E6" s="4">
        <f t="shared" si="2"/>
        <v>8.7986104908213507E-3</v>
      </c>
      <c r="F6" s="4">
        <f t="shared" si="2"/>
        <v>2.7240402203594478E-2</v>
      </c>
      <c r="G6" s="4">
        <f t="shared" si="2"/>
        <v>1.6025103565671991E-2</v>
      </c>
      <c r="H6" s="4">
        <f t="shared" si="2"/>
        <v>2.64E-2</v>
      </c>
      <c r="I6" s="4">
        <f t="shared" si="2"/>
        <v>1.26E-2</v>
      </c>
      <c r="J6" s="4">
        <f t="shared" si="2"/>
        <v>3.584438790249752E-2</v>
      </c>
      <c r="K6" s="4">
        <f t="shared" si="2"/>
        <v>4.0579233374958591E-2</v>
      </c>
      <c r="L6" s="4">
        <f t="shared" si="2"/>
        <v>6.274527492129188E-2</v>
      </c>
      <c r="M6" s="4">
        <f t="shared" si="2"/>
        <v>3.2350431038527729E-2</v>
      </c>
      <c r="N6" s="4">
        <f t="shared" si="2"/>
        <v>4.7660989589818258E-2</v>
      </c>
      <c r="O6" s="4">
        <f t="shared" si="2"/>
        <v>3.998881541601635E-2</v>
      </c>
      <c r="P6" s="4">
        <f t="shared" si="2"/>
        <v>2.76E-2</v>
      </c>
      <c r="Q6" s="4">
        <f t="shared" si="2"/>
        <v>4.6487834738894201E-2</v>
      </c>
      <c r="R6" s="4">
        <f t="shared" si="2"/>
        <v>2.3399999999999997E-2</v>
      </c>
      <c r="S6" s="4">
        <f t="shared" si="2"/>
        <v>4.4695778617357684E-2</v>
      </c>
    </row>
    <row r="7" spans="1:19" x14ac:dyDescent="0.25">
      <c r="A7">
        <v>2028</v>
      </c>
      <c r="B7" s="4">
        <f>0.4*B4+0.6*B9</f>
        <v>2.1838183668205315E-2</v>
      </c>
      <c r="C7" s="4">
        <f t="shared" ref="C7:S7" si="3">0.4*C4+0.6*C9</f>
        <v>2.8396432070379816E-2</v>
      </c>
      <c r="D7" s="4">
        <f t="shared" si="3"/>
        <v>2.5999999999999999E-2</v>
      </c>
      <c r="E7" s="4">
        <f t="shared" si="3"/>
        <v>9.0272441447059298E-3</v>
      </c>
      <c r="F7" s="4">
        <f t="shared" si="3"/>
        <v>2.6820051534129686E-2</v>
      </c>
      <c r="G7" s="4">
        <f t="shared" si="3"/>
        <v>1.5683402377114661E-2</v>
      </c>
      <c r="H7" s="4">
        <f t="shared" si="3"/>
        <v>2.76E-2</v>
      </c>
      <c r="I7" s="4">
        <f t="shared" si="3"/>
        <v>1.3399999999999999E-2</v>
      </c>
      <c r="J7" s="4">
        <f t="shared" si="3"/>
        <v>3.476658185374628E-2</v>
      </c>
      <c r="K7" s="4">
        <f t="shared" si="3"/>
        <v>3.9500550439800629E-2</v>
      </c>
      <c r="L7" s="4">
        <f t="shared" si="3"/>
        <v>6.2117912381937826E-2</v>
      </c>
      <c r="M7" s="4">
        <f t="shared" si="3"/>
        <v>3.156695402568515E-2</v>
      </c>
      <c r="N7" s="4">
        <f t="shared" si="3"/>
        <v>4.6651951203923334E-2</v>
      </c>
      <c r="O7" s="4">
        <f t="shared" si="3"/>
        <v>3.8325876944010899E-2</v>
      </c>
      <c r="P7" s="4">
        <f t="shared" si="3"/>
        <v>2.8400000000000002E-2</v>
      </c>
      <c r="Q7" s="4">
        <f t="shared" si="3"/>
        <v>4.6231752108341302E-2</v>
      </c>
      <c r="R7" s="4">
        <f t="shared" si="3"/>
        <v>2.5599999999999998E-2</v>
      </c>
      <c r="S7" s="4">
        <f t="shared" si="3"/>
        <v>4.2543667926036519E-2</v>
      </c>
    </row>
    <row r="8" spans="1:19" x14ac:dyDescent="0.25">
      <c r="A8">
        <v>2029</v>
      </c>
      <c r="B8" s="4">
        <f>0.2*B4+0.8*B9</f>
        <v>2.122348974773627E-2</v>
      </c>
      <c r="C8" s="4">
        <f t="shared" ref="C8:S8" si="4">0.2*C4+0.8*C9</f>
        <v>2.7953711181931719E-2</v>
      </c>
      <c r="D8" s="4">
        <f t="shared" si="4"/>
        <v>2.8000000000000001E-2</v>
      </c>
      <c r="E8" s="4">
        <f t="shared" si="4"/>
        <v>9.2558777985905106E-3</v>
      </c>
      <c r="F8" s="4">
        <f t="shared" si="4"/>
        <v>2.6399700864664893E-2</v>
      </c>
      <c r="G8" s="4">
        <f t="shared" si="4"/>
        <v>1.534170118855733E-2</v>
      </c>
      <c r="H8" s="4">
        <f t="shared" si="4"/>
        <v>2.8799999999999999E-2</v>
      </c>
      <c r="I8" s="4">
        <f t="shared" si="4"/>
        <v>1.4200000000000001E-2</v>
      </c>
      <c r="J8" s="4">
        <f t="shared" si="4"/>
        <v>3.368877580499504E-2</v>
      </c>
      <c r="K8" s="4">
        <f t="shared" si="4"/>
        <v>3.8421867504642673E-2</v>
      </c>
      <c r="L8" s="4">
        <f t="shared" si="4"/>
        <v>6.1490549842583765E-2</v>
      </c>
      <c r="M8" s="4">
        <f t="shared" si="4"/>
        <v>3.0783477012842578E-2</v>
      </c>
      <c r="N8" s="4">
        <f t="shared" si="4"/>
        <v>4.5642912818028417E-2</v>
      </c>
      <c r="O8" s="4">
        <f t="shared" si="4"/>
        <v>3.6662938472005455E-2</v>
      </c>
      <c r="P8" s="4">
        <f t="shared" si="4"/>
        <v>2.92E-2</v>
      </c>
      <c r="Q8" s="4">
        <f t="shared" si="4"/>
        <v>4.5975669477788403E-2</v>
      </c>
      <c r="R8" s="4">
        <f t="shared" si="4"/>
        <v>2.7800000000000002E-2</v>
      </c>
      <c r="S8" s="4">
        <f t="shared" si="4"/>
        <v>4.0391557234715367E-2</v>
      </c>
    </row>
    <row r="9" spans="1:19" x14ac:dyDescent="0.25">
      <c r="A9">
        <v>2030</v>
      </c>
      <c r="B9" s="4">
        <v>2.0608795827267226E-2</v>
      </c>
      <c r="C9" s="4">
        <v>2.7510990293483618E-2</v>
      </c>
      <c r="D9" s="4">
        <v>0.03</v>
      </c>
      <c r="E9" s="4">
        <v>9.4845114524750897E-3</v>
      </c>
      <c r="F9" s="4">
        <v>2.5979350195200101E-2</v>
      </c>
      <c r="G9" s="4">
        <v>1.4999999999999999E-2</v>
      </c>
      <c r="H9" s="4">
        <v>0.03</v>
      </c>
      <c r="I9" s="4">
        <v>1.4999999999999999E-2</v>
      </c>
      <c r="J9" s="4">
        <v>3.26109697562438E-2</v>
      </c>
      <c r="K9" s="4">
        <v>3.7343184569484704E-2</v>
      </c>
      <c r="L9" s="4">
        <v>6.0863187303229704E-2</v>
      </c>
      <c r="M9" s="4">
        <v>0.03</v>
      </c>
      <c r="N9" s="4">
        <v>4.4633874432133493E-2</v>
      </c>
      <c r="O9" s="4">
        <v>3.5000000000000003E-2</v>
      </c>
      <c r="P9" s="4">
        <v>0.03</v>
      </c>
      <c r="Q9" s="4">
        <v>4.5719586847235504E-2</v>
      </c>
      <c r="R9" s="4">
        <v>0.03</v>
      </c>
      <c r="S9" s="4">
        <v>3.8239446543394201E-2</v>
      </c>
    </row>
    <row r="10" spans="1:19" x14ac:dyDescent="0.25">
      <c r="A10">
        <v>2031</v>
      </c>
      <c r="B10" s="4">
        <f>0.8*B9+0.2*B14</f>
        <v>2.0487036661813781E-2</v>
      </c>
      <c r="C10" s="4">
        <f t="shared" ref="C10" si="5">0.8*C9+0.2*C14</f>
        <v>2.7200058901166287E-2</v>
      </c>
      <c r="D10" s="4">
        <f t="shared" ref="D10" si="6">0.8*D9+0.2*D14</f>
        <v>0.03</v>
      </c>
      <c r="E10" s="4">
        <f t="shared" ref="E10" si="7">0.8*E9+0.2*E14</f>
        <v>1.0177144909496992E-2</v>
      </c>
      <c r="F10" s="4">
        <f t="shared" ref="F10" si="8">0.8*F9+0.2*F14</f>
        <v>2.6158704302291082E-2</v>
      </c>
      <c r="G10" s="4">
        <f t="shared" ref="G10" si="9">0.8*G9+0.2*G14</f>
        <v>1.4999999999999999E-2</v>
      </c>
      <c r="H10" s="4">
        <f t="shared" ref="H10" si="10">0.8*H9+0.2*H14</f>
        <v>0.03</v>
      </c>
      <c r="I10" s="4">
        <f t="shared" ref="I10" si="11">0.8*I9+0.2*I14</f>
        <v>1.4999999999999999E-2</v>
      </c>
      <c r="J10" s="4">
        <f t="shared" ref="J10" si="12">0.8*J9+0.2*J14</f>
        <v>3.1688775804995038E-2</v>
      </c>
      <c r="K10" s="4">
        <f t="shared" ref="K10" si="13">0.8*K9+0.2*K14</f>
        <v>3.6874547655587765E-2</v>
      </c>
      <c r="L10" s="4">
        <f t="shared" ref="L10" si="14">0.8*L9+0.2*L14</f>
        <v>5.7917847638673685E-2</v>
      </c>
      <c r="M10" s="4">
        <f t="shared" ref="M10" si="15">0.8*M9+0.2*M14</f>
        <v>0.03</v>
      </c>
      <c r="N10" s="4">
        <f t="shared" ref="N10" si="16">0.8*N9+0.2*N14</f>
        <v>4.4441561194995621E-2</v>
      </c>
      <c r="O10" s="4">
        <f t="shared" ref="O10" si="17">0.8*O9+0.2*O14</f>
        <v>3.5000000000000003E-2</v>
      </c>
      <c r="P10" s="4">
        <f t="shared" ref="P10" si="18">0.8*P9+0.2*P14</f>
        <v>0.03</v>
      </c>
      <c r="Q10" s="4">
        <f t="shared" ref="Q10" si="19">0.8*Q9+0.2*Q14</f>
        <v>4.5173770206365323E-2</v>
      </c>
      <c r="R10" s="4">
        <f t="shared" ref="R10" si="20">0.8*R9+0.2*R14</f>
        <v>2.92843859003083E-2</v>
      </c>
      <c r="S10" s="4">
        <f t="shared" ref="S10" si="21">0.8*S9+0.2*S14</f>
        <v>3.7557225082256486E-2</v>
      </c>
    </row>
    <row r="11" spans="1:19" x14ac:dyDescent="0.25">
      <c r="A11">
        <v>2032</v>
      </c>
      <c r="B11" s="4">
        <f>0.6*B9+0.4*B14</f>
        <v>2.0365277496360336E-2</v>
      </c>
      <c r="C11" s="4">
        <f t="shared" ref="C11:S11" si="22">0.6*C9+0.4*C14</f>
        <v>2.6889127508848948E-2</v>
      </c>
      <c r="D11" s="4">
        <f t="shared" si="22"/>
        <v>0.03</v>
      </c>
      <c r="E11" s="4">
        <f t="shared" si="22"/>
        <v>1.0869778366518895E-2</v>
      </c>
      <c r="F11" s="4">
        <f t="shared" si="22"/>
        <v>2.633805840938206E-2</v>
      </c>
      <c r="G11" s="4">
        <f t="shared" si="22"/>
        <v>1.4999999999999999E-2</v>
      </c>
      <c r="H11" s="4">
        <f t="shared" si="22"/>
        <v>0.03</v>
      </c>
      <c r="I11" s="4">
        <f t="shared" si="22"/>
        <v>1.4999999999999999E-2</v>
      </c>
      <c r="J11" s="4">
        <f t="shared" si="22"/>
        <v>3.0766581853746276E-2</v>
      </c>
      <c r="K11" s="4">
        <f t="shared" si="22"/>
        <v>3.640591074169082E-2</v>
      </c>
      <c r="L11" s="4">
        <f t="shared" si="22"/>
        <v>5.4972507974117665E-2</v>
      </c>
      <c r="M11" s="4">
        <f t="shared" si="22"/>
        <v>0.03</v>
      </c>
      <c r="N11" s="4">
        <f t="shared" si="22"/>
        <v>4.4249247957857736E-2</v>
      </c>
      <c r="O11" s="4">
        <f t="shared" si="22"/>
        <v>3.5000000000000003E-2</v>
      </c>
      <c r="P11" s="4">
        <f t="shared" si="22"/>
        <v>0.03</v>
      </c>
      <c r="Q11" s="4">
        <f t="shared" si="22"/>
        <v>4.4627953565495142E-2</v>
      </c>
      <c r="R11" s="4">
        <f t="shared" si="22"/>
        <v>2.8568771800616601E-2</v>
      </c>
      <c r="S11" s="4">
        <f t="shared" si="22"/>
        <v>3.6875003621118757E-2</v>
      </c>
    </row>
    <row r="12" spans="1:19" x14ac:dyDescent="0.25">
      <c r="A12">
        <v>2033</v>
      </c>
      <c r="B12" s="4">
        <f>0.4*B9+0.6*B14</f>
        <v>2.0243518330906891E-2</v>
      </c>
      <c r="C12" s="4">
        <f t="shared" ref="C12:S12" si="23">0.4*C9+0.6*C14</f>
        <v>2.6578196116531609E-2</v>
      </c>
      <c r="D12" s="4">
        <f t="shared" si="23"/>
        <v>0.03</v>
      </c>
      <c r="E12" s="4">
        <f t="shared" si="23"/>
        <v>1.1562411823540796E-2</v>
      </c>
      <c r="F12" s="4">
        <f t="shared" si="23"/>
        <v>2.6517412516473042E-2</v>
      </c>
      <c r="G12" s="4">
        <f t="shared" si="23"/>
        <v>1.4999999999999999E-2</v>
      </c>
      <c r="H12" s="4">
        <f t="shared" si="23"/>
        <v>0.03</v>
      </c>
      <c r="I12" s="4">
        <f t="shared" si="23"/>
        <v>1.4999999999999999E-2</v>
      </c>
      <c r="J12" s="4">
        <f t="shared" si="23"/>
        <v>2.9844387902497521E-2</v>
      </c>
      <c r="K12" s="4">
        <f t="shared" si="23"/>
        <v>3.5937273827793881E-2</v>
      </c>
      <c r="L12" s="4">
        <f t="shared" si="23"/>
        <v>5.2027168309561639E-2</v>
      </c>
      <c r="M12" s="4">
        <f t="shared" si="23"/>
        <v>0.03</v>
      </c>
      <c r="N12" s="4">
        <f t="shared" si="23"/>
        <v>4.4056934720719858E-2</v>
      </c>
      <c r="O12" s="4">
        <f t="shared" si="23"/>
        <v>3.5000000000000003E-2</v>
      </c>
      <c r="P12" s="4">
        <f t="shared" si="23"/>
        <v>0.03</v>
      </c>
      <c r="Q12" s="4">
        <f t="shared" si="23"/>
        <v>4.4082136924624961E-2</v>
      </c>
      <c r="R12" s="4">
        <f t="shared" si="23"/>
        <v>2.7853157700924898E-2</v>
      </c>
      <c r="S12" s="4">
        <f t="shared" si="23"/>
        <v>3.6192782159981035E-2</v>
      </c>
    </row>
    <row r="13" spans="1:19" x14ac:dyDescent="0.25">
      <c r="A13">
        <v>2034</v>
      </c>
      <c r="B13" s="4">
        <f>0.2*B9+0.8*B14</f>
        <v>2.0121759165453446E-2</v>
      </c>
      <c r="C13" s="4">
        <f t="shared" ref="C13" si="24">0.2*C9+0.8*C14</f>
        <v>2.6267264724214277E-2</v>
      </c>
      <c r="D13" s="4">
        <f t="shared" ref="D13" si="25">0.2*D9+0.8*D14</f>
        <v>0.03</v>
      </c>
      <c r="E13" s="4">
        <f t="shared" ref="E13" si="26">0.2*E9+0.8*E14</f>
        <v>1.2255045280562699E-2</v>
      </c>
      <c r="F13" s="4">
        <f t="shared" ref="F13" si="27">0.2*F9+0.8*F14</f>
        <v>2.6696766623564024E-2</v>
      </c>
      <c r="G13" s="4">
        <f t="shared" ref="G13" si="28">0.2*G9+0.8*G14</f>
        <v>1.4999999999999999E-2</v>
      </c>
      <c r="H13" s="4">
        <f t="shared" ref="H13" si="29">0.2*H9+0.8*H14</f>
        <v>0.03</v>
      </c>
      <c r="I13" s="4">
        <f t="shared" ref="I13" si="30">0.2*I9+0.8*I14</f>
        <v>1.4999999999999999E-2</v>
      </c>
      <c r="J13" s="4">
        <f t="shared" ref="J13" si="31">0.2*J9+0.8*J14</f>
        <v>2.8922193951248759E-2</v>
      </c>
      <c r="K13" s="4">
        <f t="shared" ref="K13" si="32">0.2*K9+0.8*K14</f>
        <v>3.5468636913896942E-2</v>
      </c>
      <c r="L13" s="4">
        <f t="shared" ref="L13" si="33">0.2*L9+0.8*L14</f>
        <v>4.9081828645005626E-2</v>
      </c>
      <c r="M13" s="4">
        <f t="shared" ref="M13" si="34">0.2*M9+0.8*M14</f>
        <v>0.03</v>
      </c>
      <c r="N13" s="4">
        <f t="shared" ref="N13" si="35">0.2*N9+0.8*N14</f>
        <v>4.3864621483581986E-2</v>
      </c>
      <c r="O13" s="4">
        <f t="shared" ref="O13" si="36">0.2*O9+0.8*O14</f>
        <v>3.5000000000000003E-2</v>
      </c>
      <c r="P13" s="4">
        <f t="shared" ref="P13" si="37">0.2*P9+0.8*P14</f>
        <v>0.03</v>
      </c>
      <c r="Q13" s="4">
        <f t="shared" ref="Q13" si="38">0.2*Q9+0.8*Q14</f>
        <v>4.353632028375478E-2</v>
      </c>
      <c r="R13" s="4">
        <f t="shared" ref="R13" si="39">0.2*R9+0.8*R14</f>
        <v>2.7137543601233202E-2</v>
      </c>
      <c r="S13" s="4">
        <f t="shared" ref="S13" si="40">0.2*S9+0.8*S14</f>
        <v>3.551056069884332E-2</v>
      </c>
    </row>
    <row r="14" spans="1:19" x14ac:dyDescent="0.25">
      <c r="A14">
        <v>2035</v>
      </c>
      <c r="B14" s="4">
        <v>0.02</v>
      </c>
      <c r="C14" s="4">
        <v>2.5956333331896939E-2</v>
      </c>
      <c r="D14" s="4">
        <v>0.03</v>
      </c>
      <c r="E14" s="4">
        <v>1.29476787375846E-2</v>
      </c>
      <c r="F14" s="4">
        <v>2.6876120730655005E-2</v>
      </c>
      <c r="G14" s="4">
        <v>1.4999999999999999E-2</v>
      </c>
      <c r="H14" s="4">
        <v>0.03</v>
      </c>
      <c r="I14" s="4">
        <v>1.4999999999999999E-2</v>
      </c>
      <c r="J14" s="4">
        <v>2.7999999999999997E-2</v>
      </c>
      <c r="K14" s="4">
        <v>3.5000000000000003E-2</v>
      </c>
      <c r="L14" s="4">
        <v>4.61364889804496E-2</v>
      </c>
      <c r="M14" s="4">
        <v>0.03</v>
      </c>
      <c r="N14" s="4">
        <v>4.3672308246444101E-2</v>
      </c>
      <c r="O14" s="4">
        <v>3.5000000000000003E-2</v>
      </c>
      <c r="P14" s="4">
        <v>0.03</v>
      </c>
      <c r="Q14" s="4">
        <v>4.2990503642884599E-2</v>
      </c>
      <c r="R14" s="4">
        <v>2.64219295015415E-2</v>
      </c>
      <c r="S14" s="4">
        <v>3.4828339237705598E-2</v>
      </c>
    </row>
    <row r="15" spans="1:19" x14ac:dyDescent="0.25">
      <c r="A15">
        <v>2036</v>
      </c>
      <c r="B15" s="4">
        <f>0.8*B14+0.2*B19</f>
        <v>1.9782125969481045E-2</v>
      </c>
      <c r="C15" s="4">
        <f t="shared" ref="C15" si="41">0.8*C14+0.2*C19</f>
        <v>2.5765141788666547E-2</v>
      </c>
      <c r="D15" s="4">
        <f t="shared" ref="D15" si="42">0.8*D14+0.2*D19</f>
        <v>0.03</v>
      </c>
      <c r="E15" s="4">
        <f t="shared" ref="E15" si="43">0.8*E14+0.2*E19</f>
        <v>1.2944429557098921E-2</v>
      </c>
      <c r="F15" s="4">
        <f t="shared" ref="F15" si="44">0.8*F14+0.2*F19</f>
        <v>2.6509448323206463E-2</v>
      </c>
      <c r="G15" s="4">
        <f t="shared" ref="G15" si="45">0.8*G14+0.2*G19</f>
        <v>1.4999999999999999E-2</v>
      </c>
      <c r="H15" s="4">
        <f t="shared" ref="H15" si="46">0.8*H14+0.2*H19</f>
        <v>0.03</v>
      </c>
      <c r="I15" s="4">
        <f t="shared" ref="I15" si="47">0.8*I14+0.2*I19</f>
        <v>1.5091907315948502E-2</v>
      </c>
      <c r="J15" s="4">
        <f t="shared" ref="J15" si="48">0.8*J14+0.2*J19</f>
        <v>2.7800000000000002E-2</v>
      </c>
      <c r="K15" s="4">
        <f t="shared" ref="K15" si="49">0.8*K14+0.2*K19</f>
        <v>3.4600000000000006E-2</v>
      </c>
      <c r="L15" s="4">
        <f t="shared" ref="L15" si="50">0.8*L14+0.2*L19</f>
        <v>4.6128013955509424E-2</v>
      </c>
      <c r="M15" s="4">
        <f t="shared" ref="M15" si="51">0.8*M14+0.2*M19</f>
        <v>0.03</v>
      </c>
      <c r="N15" s="4">
        <f t="shared" ref="N15" si="52">0.8*N14+0.2*N19</f>
        <v>4.3356126297807863E-2</v>
      </c>
      <c r="O15" s="4">
        <f t="shared" ref="O15" si="53">0.8*O14+0.2*O19</f>
        <v>3.5000000000000003E-2</v>
      </c>
      <c r="P15" s="4">
        <f t="shared" ref="P15" si="54">0.8*P14+0.2*P19</f>
        <v>0.03</v>
      </c>
      <c r="Q15" s="4">
        <f t="shared" ref="Q15" si="55">0.8*Q14+0.2*Q19</f>
        <v>4.2445607768743801E-2</v>
      </c>
      <c r="R15" s="4">
        <f t="shared" ref="R15" si="56">0.8*R14+0.2*R19</f>
        <v>2.5503652828247816E-2</v>
      </c>
      <c r="S15" s="4">
        <f t="shared" ref="S15" si="57">0.8*S14+0.2*S19</f>
        <v>3.4008306339721836E-2</v>
      </c>
    </row>
    <row r="16" spans="1:19" x14ac:dyDescent="0.25">
      <c r="A16">
        <v>2037</v>
      </c>
      <c r="B16" s="4">
        <f>0.6*B14+0.4*B19</f>
        <v>1.9564251938962086E-2</v>
      </c>
      <c r="C16" s="4">
        <f t="shared" ref="C16:S16" si="58">0.6*C14+0.4*C19</f>
        <v>2.5573950245436149E-2</v>
      </c>
      <c r="D16" s="4">
        <f t="shared" si="58"/>
        <v>0.03</v>
      </c>
      <c r="E16" s="4">
        <f t="shared" si="58"/>
        <v>1.2941180376613241E-2</v>
      </c>
      <c r="F16" s="4">
        <f t="shared" si="58"/>
        <v>2.6142775915757921E-2</v>
      </c>
      <c r="G16" s="4">
        <f t="shared" si="58"/>
        <v>1.4999999999999999E-2</v>
      </c>
      <c r="H16" s="4">
        <f t="shared" si="58"/>
        <v>0.03</v>
      </c>
      <c r="I16" s="4">
        <f t="shared" si="58"/>
        <v>1.5183814631897E-2</v>
      </c>
      <c r="J16" s="4">
        <f t="shared" si="58"/>
        <v>2.76E-2</v>
      </c>
      <c r="K16" s="4">
        <f t="shared" si="58"/>
        <v>3.4200000000000001E-2</v>
      </c>
      <c r="L16" s="4">
        <f t="shared" si="58"/>
        <v>4.6119538930569241E-2</v>
      </c>
      <c r="M16" s="4">
        <f t="shared" si="58"/>
        <v>0.03</v>
      </c>
      <c r="N16" s="4">
        <f t="shared" si="58"/>
        <v>4.3039944349171619E-2</v>
      </c>
      <c r="O16" s="4">
        <f t="shared" si="58"/>
        <v>3.5000000000000003E-2</v>
      </c>
      <c r="P16" s="4">
        <f t="shared" si="58"/>
        <v>0.03</v>
      </c>
      <c r="Q16" s="4">
        <f t="shared" si="58"/>
        <v>4.1900711894602996E-2</v>
      </c>
      <c r="R16" s="4">
        <f t="shared" si="58"/>
        <v>2.4585376154954132E-2</v>
      </c>
      <c r="S16" s="4">
        <f t="shared" si="58"/>
        <v>3.3188273441738081E-2</v>
      </c>
    </row>
    <row r="17" spans="1:19" x14ac:dyDescent="0.25">
      <c r="A17">
        <v>2038</v>
      </c>
      <c r="B17" s="4">
        <f>0.4*B14+0.6*B19</f>
        <v>1.9346377908443131E-2</v>
      </c>
      <c r="C17" s="4">
        <f t="shared" ref="C17:S17" si="59">0.4*C14+0.6*C19</f>
        <v>2.5382758702205757E-2</v>
      </c>
      <c r="D17" s="4">
        <f t="shared" si="59"/>
        <v>0.03</v>
      </c>
      <c r="E17" s="4">
        <f t="shared" si="59"/>
        <v>1.2937931196127562E-2</v>
      </c>
      <c r="F17" s="4">
        <f t="shared" si="59"/>
        <v>2.5776103508309382E-2</v>
      </c>
      <c r="G17" s="4">
        <f t="shared" si="59"/>
        <v>1.4999999999999999E-2</v>
      </c>
      <c r="H17" s="4">
        <f t="shared" si="59"/>
        <v>0.03</v>
      </c>
      <c r="I17" s="4">
        <f t="shared" si="59"/>
        <v>1.5275721947845501E-2</v>
      </c>
      <c r="J17" s="4">
        <f t="shared" si="59"/>
        <v>2.7400000000000001E-2</v>
      </c>
      <c r="K17" s="4">
        <f t="shared" si="59"/>
        <v>3.3800000000000004E-2</v>
      </c>
      <c r="L17" s="4">
        <f t="shared" si="59"/>
        <v>4.6111063905629066E-2</v>
      </c>
      <c r="M17" s="4">
        <f t="shared" si="59"/>
        <v>0.03</v>
      </c>
      <c r="N17" s="4">
        <f t="shared" si="59"/>
        <v>4.2723762400535381E-2</v>
      </c>
      <c r="O17" s="4">
        <f t="shared" si="59"/>
        <v>3.5000000000000003E-2</v>
      </c>
      <c r="P17" s="4">
        <f t="shared" si="59"/>
        <v>0.03</v>
      </c>
      <c r="Q17" s="4">
        <f t="shared" si="59"/>
        <v>4.1355816020462198E-2</v>
      </c>
      <c r="R17" s="4">
        <f t="shared" si="59"/>
        <v>2.3667099481660448E-2</v>
      </c>
      <c r="S17" s="4">
        <f t="shared" si="59"/>
        <v>3.2368240543754319E-2</v>
      </c>
    </row>
    <row r="18" spans="1:19" x14ac:dyDescent="0.25">
      <c r="A18">
        <v>2039</v>
      </c>
      <c r="B18" s="4">
        <f>0.2*B14+0.8*B19</f>
        <v>1.9128503877924176E-2</v>
      </c>
      <c r="C18" s="4">
        <f t="shared" ref="C18" si="60">0.2*C14+0.8*C19</f>
        <v>2.5191567158975366E-2</v>
      </c>
      <c r="D18" s="4">
        <f t="shared" ref="D18" si="61">0.2*D14+0.8*D19</f>
        <v>0.03</v>
      </c>
      <c r="E18" s="4">
        <f t="shared" ref="E18" si="62">0.2*E14+0.8*E19</f>
        <v>1.2934682015641881E-2</v>
      </c>
      <c r="F18" s="4">
        <f t="shared" ref="F18" si="63">0.2*F14+0.8*F19</f>
        <v>2.540943110086084E-2</v>
      </c>
      <c r="G18" s="4">
        <f t="shared" ref="G18" si="64">0.2*G14+0.8*G19</f>
        <v>1.4999999999999999E-2</v>
      </c>
      <c r="H18" s="4">
        <f t="shared" ref="H18" si="65">0.2*H14+0.8*H19</f>
        <v>0.03</v>
      </c>
      <c r="I18" s="4">
        <f t="shared" ref="I18" si="66">0.2*I14+0.8*I19</f>
        <v>1.5367629263794001E-2</v>
      </c>
      <c r="J18" s="4">
        <f t="shared" ref="J18" si="67">0.2*J14+0.8*J19</f>
        <v>2.7200000000000005E-2</v>
      </c>
      <c r="K18" s="4">
        <f t="shared" ref="K18" si="68">0.2*K14+0.8*K19</f>
        <v>3.3400000000000006E-2</v>
      </c>
      <c r="L18" s="4">
        <f t="shared" ref="L18" si="69">0.2*L14+0.8*L19</f>
        <v>4.6102588880688883E-2</v>
      </c>
      <c r="M18" s="4">
        <f t="shared" ref="M18" si="70">0.2*M14+0.8*M19</f>
        <v>0.03</v>
      </c>
      <c r="N18" s="4">
        <f t="shared" ref="N18" si="71">0.2*N14+0.8*N19</f>
        <v>4.2407580451899143E-2</v>
      </c>
      <c r="O18" s="4">
        <f t="shared" ref="O18" si="72">0.2*O14+0.8*O19</f>
        <v>3.5000000000000003E-2</v>
      </c>
      <c r="P18" s="4">
        <f t="shared" ref="P18" si="73">0.2*P14+0.8*P19</f>
        <v>0.03</v>
      </c>
      <c r="Q18" s="4">
        <f t="shared" ref="Q18" si="74">0.2*Q14+0.8*Q19</f>
        <v>4.0810920146321393E-2</v>
      </c>
      <c r="R18" s="4">
        <f t="shared" ref="R18" si="75">0.2*R14+0.8*R19</f>
        <v>2.2748822808366764E-2</v>
      </c>
      <c r="S18" s="4">
        <f t="shared" ref="S18" si="76">0.2*S14+0.8*S19</f>
        <v>3.1548207645770564E-2</v>
      </c>
    </row>
    <row r="19" spans="1:19" x14ac:dyDescent="0.25">
      <c r="A19">
        <v>2040</v>
      </c>
      <c r="B19" s="4">
        <v>1.8910629847405217E-2</v>
      </c>
      <c r="C19" s="4">
        <v>2.5000375615744971E-2</v>
      </c>
      <c r="D19" s="4">
        <v>0.03</v>
      </c>
      <c r="E19" s="4">
        <v>1.2931432835156201E-2</v>
      </c>
      <c r="F19" s="4">
        <v>2.5042758693412298E-2</v>
      </c>
      <c r="G19" s="4">
        <v>1.4999999999999999E-2</v>
      </c>
      <c r="H19" s="4">
        <v>0.03</v>
      </c>
      <c r="I19" s="4">
        <v>1.5459536579742502E-2</v>
      </c>
      <c r="J19" s="4">
        <v>2.7000000000000003E-2</v>
      </c>
      <c r="K19" s="4">
        <v>3.3000000000000002E-2</v>
      </c>
      <c r="L19" s="4">
        <v>4.6094113855748707E-2</v>
      </c>
      <c r="M19" s="4">
        <v>0.03</v>
      </c>
      <c r="N19" s="4">
        <v>4.2091398503262899E-2</v>
      </c>
      <c r="O19" s="4">
        <v>3.5000000000000003E-2</v>
      </c>
      <c r="P19" s="4">
        <v>0.03</v>
      </c>
      <c r="Q19" s="4">
        <v>4.0266024272180595E-2</v>
      </c>
      <c r="R19" s="4">
        <v>2.183054613507308E-2</v>
      </c>
      <c r="S19" s="4">
        <v>3.0728174747786802E-2</v>
      </c>
    </row>
    <row r="20" spans="1:19" x14ac:dyDescent="0.25">
      <c r="A20">
        <v>2041</v>
      </c>
      <c r="B20" s="4">
        <f>0.8*B19+0.2*B24</f>
        <v>1.8802497230668555E-2</v>
      </c>
      <c r="C20" s="4">
        <f t="shared" ref="C20" si="77">0.8*C19+0.2*C24</f>
        <v>2.1360300492595977E-2</v>
      </c>
      <c r="D20" s="4">
        <f t="shared" ref="D20" si="78">0.8*D19+0.2*D24</f>
        <v>2.9697097011281853E-2</v>
      </c>
      <c r="E20" s="4">
        <f t="shared" ref="E20" si="79">0.8*E19+0.2*E24</f>
        <v>1.2631141304308468E-2</v>
      </c>
      <c r="F20" s="4">
        <f t="shared" ref="F20" si="80">0.8*F19+0.2*F24</f>
        <v>2.5076088080824219E-2</v>
      </c>
      <c r="G20" s="4">
        <f t="shared" ref="G20" si="81">0.8*G19+0.2*G24</f>
        <v>1.4689602250164887E-2</v>
      </c>
      <c r="H20" s="4">
        <f t="shared" ref="H20" si="82">0.8*H19+0.2*H24</f>
        <v>0.03</v>
      </c>
      <c r="I20" s="4">
        <f t="shared" ref="I20" si="83">0.8*I19+0.2*I24</f>
        <v>1.5402805438828502E-2</v>
      </c>
      <c r="J20" s="4">
        <f t="shared" ref="J20" si="84">0.8*J19+0.2*J24</f>
        <v>2.6455948642626521E-2</v>
      </c>
      <c r="K20" s="4">
        <f t="shared" ref="K20" si="85">0.8*K19+0.2*K24</f>
        <v>3.1735317032024091E-2</v>
      </c>
      <c r="L20" s="4">
        <f t="shared" ref="L20" si="86">0.8*L19+0.2*L24</f>
        <v>4.4650394855201024E-2</v>
      </c>
      <c r="M20" s="4">
        <f t="shared" ref="M20" si="87">0.8*M19+0.2*M24</f>
        <v>2.926021415389873E-2</v>
      </c>
      <c r="N20" s="4">
        <f t="shared" ref="N20" si="88">0.8*N19+0.2*N24</f>
        <v>4.1428009198741192E-2</v>
      </c>
      <c r="O20" s="4">
        <f t="shared" ref="O20" si="89">0.8*O19+0.2*O24</f>
        <v>3.4383938390485584E-2</v>
      </c>
      <c r="P20" s="4">
        <f t="shared" ref="P20" si="90">0.8*P19+0.2*P24</f>
        <v>2.982091656445153E-2</v>
      </c>
      <c r="Q20" s="4">
        <f t="shared" ref="Q20" si="91">0.8*Q19+0.2*Q24</f>
        <v>3.9267797681840994E-2</v>
      </c>
      <c r="R20" s="4">
        <f t="shared" ref="R20" si="92">0.8*R19+0.2*R24</f>
        <v>2.1950004703903559E-2</v>
      </c>
      <c r="S20" s="4">
        <f t="shared" ref="S20" si="93">0.8*S19+0.2*S24</f>
        <v>2.9989432582205721E-2</v>
      </c>
    </row>
    <row r="21" spans="1:19" x14ac:dyDescent="0.25">
      <c r="A21">
        <v>2042</v>
      </c>
      <c r="B21" s="4">
        <f>0.6*B19+0.4*B24</f>
        <v>1.8694364613931889E-2</v>
      </c>
      <c r="C21" s="4">
        <f t="shared" ref="C21:S21" si="94">0.6*C19+0.4*C24</f>
        <v>1.7720225369446983E-2</v>
      </c>
      <c r="D21" s="4">
        <f t="shared" si="94"/>
        <v>2.9394194022563703E-2</v>
      </c>
      <c r="E21" s="4">
        <f t="shared" si="94"/>
        <v>1.2330849773460734E-2</v>
      </c>
      <c r="F21" s="4">
        <f t="shared" si="94"/>
        <v>2.5109417468236139E-2</v>
      </c>
      <c r="G21" s="4">
        <f t="shared" si="94"/>
        <v>1.437920450032977E-2</v>
      </c>
      <c r="H21" s="4">
        <f t="shared" si="94"/>
        <v>0.03</v>
      </c>
      <c r="I21" s="4">
        <f t="shared" si="94"/>
        <v>1.53460742979145E-2</v>
      </c>
      <c r="J21" s="4">
        <f t="shared" si="94"/>
        <v>2.5911897285253036E-2</v>
      </c>
      <c r="K21" s="4">
        <f t="shared" si="94"/>
        <v>3.047063406404818E-2</v>
      </c>
      <c r="L21" s="4">
        <f t="shared" si="94"/>
        <v>4.3206675854653348E-2</v>
      </c>
      <c r="M21" s="4">
        <f t="shared" si="94"/>
        <v>2.8520428307797458E-2</v>
      </c>
      <c r="N21" s="4">
        <f t="shared" si="94"/>
        <v>4.0764619894219478E-2</v>
      </c>
      <c r="O21" s="4">
        <f t="shared" si="94"/>
        <v>3.3767876780971158E-2</v>
      </c>
      <c r="P21" s="4">
        <f t="shared" si="94"/>
        <v>2.9641833128903058E-2</v>
      </c>
      <c r="Q21" s="4">
        <f t="shared" si="94"/>
        <v>3.8269571091501399E-2</v>
      </c>
      <c r="R21" s="4">
        <f t="shared" si="94"/>
        <v>2.2069463272734034E-2</v>
      </c>
      <c r="S21" s="4">
        <f t="shared" si="94"/>
        <v>2.925069041662464E-2</v>
      </c>
    </row>
    <row r="22" spans="1:19" x14ac:dyDescent="0.25">
      <c r="A22">
        <v>2043</v>
      </c>
      <c r="B22" s="4">
        <f>0.4*B19+0.6*B24</f>
        <v>1.8586231997195224E-2</v>
      </c>
      <c r="C22" s="4">
        <f t="shared" ref="C22:S22" si="95">0.4*C19+0.6*C24</f>
        <v>1.4080150246297989E-2</v>
      </c>
      <c r="D22" s="4">
        <f t="shared" si="95"/>
        <v>2.9091291033845553E-2</v>
      </c>
      <c r="E22" s="4">
        <f t="shared" si="95"/>
        <v>1.2030558242613001E-2</v>
      </c>
      <c r="F22" s="4">
        <f t="shared" si="95"/>
        <v>2.514274685564806E-2</v>
      </c>
      <c r="G22" s="4">
        <f t="shared" si="95"/>
        <v>1.4068806750494657E-2</v>
      </c>
      <c r="H22" s="4">
        <f t="shared" si="95"/>
        <v>0.03</v>
      </c>
      <c r="I22" s="4">
        <f t="shared" si="95"/>
        <v>1.52893431570005E-2</v>
      </c>
      <c r="J22" s="4">
        <f t="shared" si="95"/>
        <v>2.5367845927879551E-2</v>
      </c>
      <c r="K22" s="4">
        <f t="shared" si="95"/>
        <v>2.9205951096072262E-2</v>
      </c>
      <c r="L22" s="4">
        <f t="shared" si="95"/>
        <v>4.1762956854105665E-2</v>
      </c>
      <c r="M22" s="4">
        <f t="shared" si="95"/>
        <v>2.7780642461696186E-2</v>
      </c>
      <c r="N22" s="4">
        <f t="shared" si="95"/>
        <v>4.0101230589697778E-2</v>
      </c>
      <c r="O22" s="4">
        <f t="shared" si="95"/>
        <v>3.3151815171456732E-2</v>
      </c>
      <c r="P22" s="4">
        <f t="shared" si="95"/>
        <v>2.9462749693354585E-2</v>
      </c>
      <c r="Q22" s="4">
        <f t="shared" si="95"/>
        <v>3.7271344501161797E-2</v>
      </c>
      <c r="R22" s="4">
        <f t="shared" si="95"/>
        <v>2.2188921841564509E-2</v>
      </c>
      <c r="S22" s="4">
        <f t="shared" si="95"/>
        <v>2.851194825104356E-2</v>
      </c>
    </row>
    <row r="23" spans="1:19" x14ac:dyDescent="0.25">
      <c r="A23">
        <v>2044</v>
      </c>
      <c r="B23" s="4">
        <f>0.2*B19+0.8*B24</f>
        <v>1.8478099380458562E-2</v>
      </c>
      <c r="C23" s="4">
        <f t="shared" ref="C23" si="96">0.2*C19+0.8*C24</f>
        <v>1.0440075123148995E-2</v>
      </c>
      <c r="D23" s="4">
        <f t="shared" ref="D23" si="97">0.2*D19+0.8*D24</f>
        <v>2.8788388045127407E-2</v>
      </c>
      <c r="E23" s="4">
        <f t="shared" ref="E23" si="98">0.2*E19+0.8*E24</f>
        <v>1.1730266711765268E-2</v>
      </c>
      <c r="F23" s="4">
        <f t="shared" ref="F23" si="99">0.2*F19+0.8*F24</f>
        <v>2.517607624305998E-2</v>
      </c>
      <c r="G23" s="4">
        <f t="shared" ref="G23" si="100">0.2*G19+0.8*G24</f>
        <v>1.3758409000659545E-2</v>
      </c>
      <c r="H23" s="4">
        <f t="shared" ref="H23" si="101">0.2*H19+0.8*H24</f>
        <v>0.03</v>
      </c>
      <c r="I23" s="4">
        <f t="shared" ref="I23" si="102">0.2*I19+0.8*I24</f>
        <v>1.52326120160865E-2</v>
      </c>
      <c r="J23" s="4">
        <f t="shared" ref="J23" si="103">0.2*J19+0.8*J24</f>
        <v>2.4823794570506069E-2</v>
      </c>
      <c r="K23" s="4">
        <f t="shared" ref="K23" si="104">0.2*K19+0.8*K24</f>
        <v>2.7941268128096355E-2</v>
      </c>
      <c r="L23" s="4">
        <f t="shared" ref="L23" si="105">0.2*L19+0.8*L24</f>
        <v>4.0319237853557982E-2</v>
      </c>
      <c r="M23" s="4">
        <f t="shared" ref="M23" si="106">0.2*M19+0.8*M24</f>
        <v>2.7040856615594917E-2</v>
      </c>
      <c r="N23" s="4">
        <f t="shared" ref="N23" si="107">0.2*N19+0.8*N24</f>
        <v>3.9437841285176065E-2</v>
      </c>
      <c r="O23" s="4">
        <f t="shared" ref="O23" si="108">0.2*O19+0.8*O24</f>
        <v>3.2535753561942313E-2</v>
      </c>
      <c r="P23" s="4">
        <f t="shared" ref="P23" si="109">0.2*P19+0.8*P24</f>
        <v>2.9283666257806117E-2</v>
      </c>
      <c r="Q23" s="4">
        <f t="shared" ref="Q23" si="110">0.2*Q19+0.8*Q24</f>
        <v>3.6273117910822203E-2</v>
      </c>
      <c r="R23" s="4">
        <f t="shared" ref="R23" si="111">0.2*R19+0.8*R24</f>
        <v>2.2308380410394988E-2</v>
      </c>
      <c r="S23" s="4">
        <f t="shared" ref="S23" si="112">0.2*S19+0.8*S24</f>
        <v>2.7773206085462483E-2</v>
      </c>
    </row>
    <row r="24" spans="1:19" x14ac:dyDescent="0.25">
      <c r="A24">
        <v>2045</v>
      </c>
      <c r="B24" s="4">
        <v>1.8369966763721896E-2</v>
      </c>
      <c r="C24" s="4">
        <v>6.7999999999999996E-3</v>
      </c>
      <c r="D24" s="4">
        <v>2.8485485056409257E-2</v>
      </c>
      <c r="E24" s="4">
        <v>1.1429975180917535E-2</v>
      </c>
      <c r="F24" s="4">
        <v>2.5209405630471901E-2</v>
      </c>
      <c r="G24" s="4">
        <v>1.3448011250824428E-2</v>
      </c>
      <c r="H24" s="4">
        <v>0.03</v>
      </c>
      <c r="I24" s="4">
        <v>1.51758808751725E-2</v>
      </c>
      <c r="J24" s="4">
        <v>2.427974321313258E-2</v>
      </c>
      <c r="K24" s="4">
        <v>2.667658516012044E-2</v>
      </c>
      <c r="L24" s="4">
        <v>3.8875518853010299E-2</v>
      </c>
      <c r="M24" s="4">
        <v>2.6301070769493645E-2</v>
      </c>
      <c r="N24" s="4">
        <v>3.8774451980654358E-2</v>
      </c>
      <c r="O24" s="4">
        <v>3.1919691952427887E-2</v>
      </c>
      <c r="P24" s="4">
        <v>2.9104582822257644E-2</v>
      </c>
      <c r="Q24" s="4">
        <v>3.5274891320482601E-2</v>
      </c>
      <c r="R24" s="4">
        <v>2.2427838979225463E-2</v>
      </c>
      <c r="S24" s="4">
        <v>2.7034463919881402E-2</v>
      </c>
    </row>
    <row r="25" spans="1:19" x14ac:dyDescent="0.25">
      <c r="A25">
        <v>2046</v>
      </c>
      <c r="B25" s="4">
        <f>0.8*B24+0.2*B29</f>
        <v>1.8282490731513695E-2</v>
      </c>
      <c r="C25" s="4">
        <f t="shared" ref="C25" si="113">0.8*C24+0.2*C29</f>
        <v>9.3756811637025796E-3</v>
      </c>
      <c r="D25" s="4">
        <f t="shared" ref="D25" si="114">0.8*D24+0.2*D29</f>
        <v>2.8349839889473979E-2</v>
      </c>
      <c r="E25" s="4">
        <f t="shared" ref="E25" si="115">0.8*E24+0.2*E29</f>
        <v>1.137554672767507E-2</v>
      </c>
      <c r="F25" s="4">
        <f t="shared" ref="F25" si="116">0.8*F24+0.2*F29</f>
        <v>2.5089360841755368E-2</v>
      </c>
      <c r="G25" s="4">
        <f t="shared" ref="G25" si="117">0.8*G24+0.2*G29</f>
        <v>1.338397310201098E-2</v>
      </c>
      <c r="H25" s="4">
        <f t="shared" ref="H25" si="118">0.8*H24+0.2*H29</f>
        <v>2.9857142857142856E-2</v>
      </c>
      <c r="I25" s="4">
        <f t="shared" ref="I25" si="119">0.8*I24+0.2*I29</f>
        <v>1.5103614775766917E-2</v>
      </c>
      <c r="J25" s="4">
        <f t="shared" ref="J25" si="120">0.8*J24+0.2*J29</f>
        <v>2.4164125388308144E-2</v>
      </c>
      <c r="K25" s="4">
        <f t="shared" ref="K25" si="121">0.8*K24+0.2*K29</f>
        <v>2.6549553802215107E-2</v>
      </c>
      <c r="L25" s="4">
        <f t="shared" ref="L25" si="122">0.8*L24+0.2*L29</f>
        <v>3.8690397334662632E-2</v>
      </c>
      <c r="M25" s="4">
        <f t="shared" ref="M25" si="123">0.8*M24+0.2*M29</f>
        <v>2.6175827575353201E-2</v>
      </c>
      <c r="N25" s="4">
        <f t="shared" ref="N25" si="124">0.8*N24+0.2*N29</f>
        <v>3.8589811733127435E-2</v>
      </c>
      <c r="O25" s="4">
        <f t="shared" ref="O25" si="125">0.8*O24+0.2*O29</f>
        <v>3.1767693419321091E-2</v>
      </c>
      <c r="P25" s="4">
        <f t="shared" ref="P25" si="126">0.8*P24+0.2*P29</f>
        <v>2.8965989570723088E-2</v>
      </c>
      <c r="Q25" s="4">
        <f t="shared" ref="Q25" si="127">0.8*Q24+0.2*Q29</f>
        <v>3.5106915647527923E-2</v>
      </c>
      <c r="R25" s="4">
        <f t="shared" ref="R25" si="128">0.8*R24+0.2*R29</f>
        <v>2.2321039745991058E-2</v>
      </c>
      <c r="S25" s="4">
        <f t="shared" ref="S25" si="129">0.8*S24+0.2*S29</f>
        <v>2.6905728377405777E-2</v>
      </c>
    </row>
    <row r="26" spans="1:19" x14ac:dyDescent="0.25">
      <c r="A26">
        <v>2047</v>
      </c>
      <c r="B26" s="4">
        <f>0.6*B24+0.4*B29</f>
        <v>1.8195014699305498E-2</v>
      </c>
      <c r="C26" s="4">
        <f t="shared" ref="C26:S26" si="130">0.6*C24+0.4*C29</f>
        <v>1.1951362327405159E-2</v>
      </c>
      <c r="D26" s="4">
        <f t="shared" si="130"/>
        <v>2.8214194722538694E-2</v>
      </c>
      <c r="E26" s="4">
        <f t="shared" si="130"/>
        <v>1.1321118274432607E-2</v>
      </c>
      <c r="F26" s="4">
        <f t="shared" si="130"/>
        <v>2.4969316053038836E-2</v>
      </c>
      <c r="G26" s="4">
        <f t="shared" si="130"/>
        <v>1.331993495319753E-2</v>
      </c>
      <c r="H26" s="4">
        <f t="shared" si="130"/>
        <v>2.9714285714285714E-2</v>
      </c>
      <c r="I26" s="4">
        <f t="shared" si="130"/>
        <v>1.5031348676361331E-2</v>
      </c>
      <c r="J26" s="4">
        <f t="shared" si="130"/>
        <v>2.4048507563483697E-2</v>
      </c>
      <c r="K26" s="4">
        <f t="shared" si="130"/>
        <v>2.6422522444309766E-2</v>
      </c>
      <c r="L26" s="4">
        <f t="shared" si="130"/>
        <v>3.8505275816314966E-2</v>
      </c>
      <c r="M26" s="4">
        <f t="shared" si="130"/>
        <v>2.605058438121275E-2</v>
      </c>
      <c r="N26" s="4">
        <f t="shared" si="130"/>
        <v>3.8405171485600506E-2</v>
      </c>
      <c r="O26" s="4">
        <f t="shared" si="130"/>
        <v>3.1615694886214282E-2</v>
      </c>
      <c r="P26" s="4">
        <f t="shared" si="130"/>
        <v>2.8827396319188524E-2</v>
      </c>
      <c r="Q26" s="4">
        <f t="shared" si="130"/>
        <v>3.4938939974573244E-2</v>
      </c>
      <c r="R26" s="4">
        <f t="shared" si="130"/>
        <v>2.2214240512756646E-2</v>
      </c>
      <c r="S26" s="4">
        <f t="shared" si="130"/>
        <v>2.6776992834930149E-2</v>
      </c>
    </row>
    <row r="27" spans="1:19" x14ac:dyDescent="0.25">
      <c r="A27">
        <v>2048</v>
      </c>
      <c r="B27" s="4">
        <f>0.4*B24+0.6*B29</f>
        <v>1.8107538667097297E-2</v>
      </c>
      <c r="C27" s="4">
        <f t="shared" ref="C27:S27" si="131">0.4*C24+0.6*C29</f>
        <v>1.4527043491107738E-2</v>
      </c>
      <c r="D27" s="4">
        <f t="shared" si="131"/>
        <v>2.8078549555603412E-2</v>
      </c>
      <c r="E27" s="4">
        <f t="shared" si="131"/>
        <v>1.126668982119014E-2</v>
      </c>
      <c r="F27" s="4">
        <f t="shared" si="131"/>
        <v>2.4849271264322303E-2</v>
      </c>
      <c r="G27" s="4">
        <f t="shared" si="131"/>
        <v>1.325589680438408E-2</v>
      </c>
      <c r="H27" s="4">
        <f t="shared" si="131"/>
        <v>2.9571428571428568E-2</v>
      </c>
      <c r="I27" s="4">
        <f t="shared" si="131"/>
        <v>1.4959082576955749E-2</v>
      </c>
      <c r="J27" s="4">
        <f t="shared" si="131"/>
        <v>2.3932889738659258E-2</v>
      </c>
      <c r="K27" s="4">
        <f t="shared" si="131"/>
        <v>2.6295491086404433E-2</v>
      </c>
      <c r="L27" s="4">
        <f t="shared" si="131"/>
        <v>3.8320154297967299E-2</v>
      </c>
      <c r="M27" s="4">
        <f t="shared" si="131"/>
        <v>2.5925341187072307E-2</v>
      </c>
      <c r="N27" s="4">
        <f t="shared" si="131"/>
        <v>3.8220531238073577E-2</v>
      </c>
      <c r="O27" s="4">
        <f t="shared" si="131"/>
        <v>3.1463696353107487E-2</v>
      </c>
      <c r="P27" s="4">
        <f t="shared" si="131"/>
        <v>2.8688803067653965E-2</v>
      </c>
      <c r="Q27" s="4">
        <f t="shared" si="131"/>
        <v>3.4770964301618565E-2</v>
      </c>
      <c r="R27" s="4">
        <f t="shared" si="131"/>
        <v>2.2107441279522244E-2</v>
      </c>
      <c r="S27" s="4">
        <f t="shared" si="131"/>
        <v>2.6648257292454527E-2</v>
      </c>
    </row>
    <row r="28" spans="1:19" x14ac:dyDescent="0.25">
      <c r="A28">
        <v>2049</v>
      </c>
      <c r="B28" s="4">
        <f>0.2*B24+0.8*B29</f>
        <v>1.80200626348891E-2</v>
      </c>
      <c r="C28" s="4">
        <f t="shared" ref="C28" si="132">0.2*C24+0.8*C29</f>
        <v>1.7102724654810317E-2</v>
      </c>
      <c r="D28" s="4">
        <f t="shared" ref="D28" si="133">0.2*D24+0.8*D29</f>
        <v>2.794290438866813E-2</v>
      </c>
      <c r="E28" s="4">
        <f t="shared" ref="E28" si="134">0.2*E24+0.8*E29</f>
        <v>1.1212261367947677E-2</v>
      </c>
      <c r="F28" s="4">
        <f t="shared" ref="F28" si="135">0.2*F24+0.8*F29</f>
        <v>2.472922647560577E-2</v>
      </c>
      <c r="G28" s="4">
        <f t="shared" ref="G28" si="136">0.2*G24+0.8*G29</f>
        <v>1.3191858655570632E-2</v>
      </c>
      <c r="H28" s="4">
        <f t="shared" ref="H28" si="137">0.2*H24+0.8*H29</f>
        <v>2.9428571428571429E-2</v>
      </c>
      <c r="I28" s="4">
        <f t="shared" ref="I28" si="138">0.2*I24+0.8*I29</f>
        <v>1.4886816477550167E-2</v>
      </c>
      <c r="J28" s="4">
        <f t="shared" ref="J28" si="139">0.2*J24+0.8*J29</f>
        <v>2.3817271913834818E-2</v>
      </c>
      <c r="K28" s="4">
        <f t="shared" ref="K28" si="140">0.2*K24+0.8*K29</f>
        <v>2.6168459728499099E-2</v>
      </c>
      <c r="L28" s="4">
        <f t="shared" ref="L28" si="141">0.2*L24+0.8*L29</f>
        <v>3.8135032779619632E-2</v>
      </c>
      <c r="M28" s="4">
        <f t="shared" ref="M28" si="142">0.2*M24+0.8*M29</f>
        <v>2.5800097992931863E-2</v>
      </c>
      <c r="N28" s="4">
        <f t="shared" ref="N28" si="143">0.2*N24+0.8*N29</f>
        <v>3.8035890990546661E-2</v>
      </c>
      <c r="O28" s="4">
        <f t="shared" ref="O28" si="144">0.2*O24+0.8*O29</f>
        <v>3.1311697820000692E-2</v>
      </c>
      <c r="P28" s="4">
        <f t="shared" ref="P28" si="145">0.2*P24+0.8*P29</f>
        <v>2.8550209816119408E-2</v>
      </c>
      <c r="Q28" s="4">
        <f t="shared" ref="Q28" si="146">0.2*Q24+0.8*Q29</f>
        <v>3.4602988628663886E-2</v>
      </c>
      <c r="R28" s="4">
        <f t="shared" ref="R28" si="147">0.2*R24+0.8*R29</f>
        <v>2.2000642046287835E-2</v>
      </c>
      <c r="S28" s="4">
        <f t="shared" ref="S28" si="148">0.2*S24+0.8*S29</f>
        <v>2.6519521749978899E-2</v>
      </c>
    </row>
    <row r="29" spans="1:19" x14ac:dyDescent="0.25">
      <c r="A29">
        <v>2050</v>
      </c>
      <c r="B29" s="4">
        <v>1.7932586602680899E-2</v>
      </c>
      <c r="C29" s="4">
        <v>1.9678405818512896E-2</v>
      </c>
      <c r="D29" s="4">
        <v>2.7807259221732845E-2</v>
      </c>
      <c r="E29" s="4">
        <v>1.1157832914705212E-2</v>
      </c>
      <c r="F29" s="4">
        <v>2.4609181686889237E-2</v>
      </c>
      <c r="G29" s="4">
        <v>1.312782050675718E-2</v>
      </c>
      <c r="H29" s="4">
        <v>2.9285714285714283E-2</v>
      </c>
      <c r="I29" s="4">
        <v>1.4814550378144583E-2</v>
      </c>
      <c r="J29" s="4">
        <v>2.3701654089010375E-2</v>
      </c>
      <c r="K29" s="4">
        <v>2.6041428370593762E-2</v>
      </c>
      <c r="L29" s="4">
        <v>3.7949911261271958E-2</v>
      </c>
      <c r="M29" s="4">
        <v>2.5674854798791415E-2</v>
      </c>
      <c r="N29" s="4">
        <v>3.7851250743019732E-2</v>
      </c>
      <c r="O29" s="4">
        <v>3.115969928689389E-2</v>
      </c>
      <c r="P29" s="4">
        <v>2.8411616564584845E-2</v>
      </c>
      <c r="Q29" s="4">
        <v>3.4435012955709207E-2</v>
      </c>
      <c r="R29" s="4">
        <v>2.1893842813053427E-2</v>
      </c>
      <c r="S29" s="4">
        <v>2.6390786207503274E-2</v>
      </c>
    </row>
    <row r="30" spans="1:19" x14ac:dyDescent="0.25">
      <c r="A30">
        <v>2051</v>
      </c>
      <c r="B30" s="4">
        <f>0.8*B29+0.2*B34</f>
        <v>1.7845110570472701E-2</v>
      </c>
      <c r="C30" s="4">
        <f t="shared" ref="C30" si="149">0.8*C29+0.2*C34</f>
        <v>1.9302840864479084E-2</v>
      </c>
      <c r="D30" s="4">
        <f t="shared" ref="D30" si="150">0.8*D29+0.2*D34</f>
        <v>2.7671614054797566E-2</v>
      </c>
      <c r="E30" s="4">
        <f t="shared" ref="E30" si="151">0.8*E29+0.2*E34</f>
        <v>1.1103404461462749E-2</v>
      </c>
      <c r="F30" s="4">
        <f t="shared" ref="F30" si="152">0.8*F29+0.2*F34</f>
        <v>2.4489136898172705E-2</v>
      </c>
      <c r="G30" s="4">
        <f t="shared" ref="G30" si="153">0.8*G29+0.2*G34</f>
        <v>1.3063782357943731E-2</v>
      </c>
      <c r="H30" s="4">
        <f t="shared" ref="H30" si="154">0.8*H29+0.2*H34</f>
        <v>2.914285714285714E-2</v>
      </c>
      <c r="I30" s="4">
        <f t="shared" ref="I30" si="155">0.8*I29+0.2*I34</f>
        <v>1.4742284278739E-2</v>
      </c>
      <c r="J30" s="4">
        <f t="shared" ref="J30" si="156">0.8*J29+0.2*J34</f>
        <v>2.3586036264185935E-2</v>
      </c>
      <c r="K30" s="4">
        <f t="shared" ref="K30" si="157">0.8*K29+0.2*K34</f>
        <v>2.5914397012688429E-2</v>
      </c>
      <c r="L30" s="4">
        <f t="shared" ref="L30" si="158">0.8*L29+0.2*L34</f>
        <v>3.7764789742924292E-2</v>
      </c>
      <c r="M30" s="4">
        <f t="shared" ref="M30" si="159">0.8*M29+0.2*M34</f>
        <v>2.5549611604650972E-2</v>
      </c>
      <c r="N30" s="4">
        <f t="shared" ref="N30" si="160">0.8*N29+0.2*N34</f>
        <v>3.766661049549281E-2</v>
      </c>
      <c r="O30" s="4">
        <f t="shared" ref="O30" si="161">0.8*O29+0.2*O34</f>
        <v>3.1007700753787091E-2</v>
      </c>
      <c r="P30" s="4">
        <f t="shared" ref="P30" si="162">0.8*P29+0.2*P34</f>
        <v>2.8273023313050288E-2</v>
      </c>
      <c r="Q30" s="4">
        <f t="shared" ref="Q30" si="163">0.8*Q29+0.2*Q34</f>
        <v>3.4267037282754528E-2</v>
      </c>
      <c r="R30" s="4">
        <f t="shared" ref="R30" si="164">0.8*R29+0.2*R34</f>
        <v>2.1787043579819018E-2</v>
      </c>
      <c r="S30" s="4">
        <f t="shared" ref="S30" si="165">0.8*S29+0.2*S34</f>
        <v>2.626205066502765E-2</v>
      </c>
    </row>
    <row r="31" spans="1:19" x14ac:dyDescent="0.25">
      <c r="A31">
        <v>2052</v>
      </c>
      <c r="B31" s="4">
        <f>0.6*B29+0.4*B34</f>
        <v>1.77576345382645E-2</v>
      </c>
      <c r="C31" s="4">
        <f t="shared" ref="C31:S31" si="166">0.6*C29+0.4*C34</f>
        <v>1.8927275910445272E-2</v>
      </c>
      <c r="D31" s="4">
        <f t="shared" si="166"/>
        <v>2.7535968887862281E-2</v>
      </c>
      <c r="E31" s="4">
        <f t="shared" si="166"/>
        <v>1.1048976008220284E-2</v>
      </c>
      <c r="F31" s="4">
        <f t="shared" si="166"/>
        <v>2.4369092109456172E-2</v>
      </c>
      <c r="G31" s="4">
        <f t="shared" si="166"/>
        <v>1.299974420913028E-2</v>
      </c>
      <c r="H31" s="4">
        <f t="shared" si="166"/>
        <v>2.8999999999999995E-2</v>
      </c>
      <c r="I31" s="4">
        <f t="shared" si="166"/>
        <v>1.4670018179333416E-2</v>
      </c>
      <c r="J31" s="4">
        <f t="shared" si="166"/>
        <v>2.3470418439361491E-2</v>
      </c>
      <c r="K31" s="4">
        <f t="shared" si="166"/>
        <v>2.5787365654783088E-2</v>
      </c>
      <c r="L31" s="4">
        <f t="shared" si="166"/>
        <v>3.7579668224576625E-2</v>
      </c>
      <c r="M31" s="4">
        <f t="shared" si="166"/>
        <v>2.5424368410510524E-2</v>
      </c>
      <c r="N31" s="4">
        <f t="shared" si="166"/>
        <v>3.748197024796588E-2</v>
      </c>
      <c r="O31" s="4">
        <f t="shared" si="166"/>
        <v>3.0855702220680292E-2</v>
      </c>
      <c r="P31" s="4">
        <f t="shared" si="166"/>
        <v>2.8134430061515725E-2</v>
      </c>
      <c r="Q31" s="4">
        <f t="shared" si="166"/>
        <v>3.4099061609799849E-2</v>
      </c>
      <c r="R31" s="4">
        <f t="shared" si="166"/>
        <v>2.1680244346584613E-2</v>
      </c>
      <c r="S31" s="4">
        <f t="shared" si="166"/>
        <v>2.6133315122552025E-2</v>
      </c>
    </row>
    <row r="32" spans="1:19" x14ac:dyDescent="0.25">
      <c r="A32">
        <v>2053</v>
      </c>
      <c r="B32" s="4">
        <f>0.4*B29+0.6*B34</f>
        <v>1.7670158506056299E-2</v>
      </c>
      <c r="C32" s="4">
        <f t="shared" ref="C32:S32" si="167">0.4*C29+0.6*C34</f>
        <v>1.8551710956411459E-2</v>
      </c>
      <c r="D32" s="4">
        <f t="shared" si="167"/>
        <v>2.7400323720926996E-2</v>
      </c>
      <c r="E32" s="4">
        <f t="shared" si="167"/>
        <v>1.0994547554977818E-2</v>
      </c>
      <c r="F32" s="4">
        <f t="shared" si="167"/>
        <v>2.4249047320739639E-2</v>
      </c>
      <c r="G32" s="4">
        <f t="shared" si="167"/>
        <v>1.2935706060316831E-2</v>
      </c>
      <c r="H32" s="4">
        <f t="shared" si="167"/>
        <v>2.8857142857142852E-2</v>
      </c>
      <c r="I32" s="4">
        <f t="shared" si="167"/>
        <v>1.4597752079927834E-2</v>
      </c>
      <c r="J32" s="4">
        <f t="shared" si="167"/>
        <v>2.3354800614537052E-2</v>
      </c>
      <c r="K32" s="4">
        <f t="shared" si="167"/>
        <v>2.5660334296877758E-2</v>
      </c>
      <c r="L32" s="4">
        <f t="shared" si="167"/>
        <v>3.7394546706228951E-2</v>
      </c>
      <c r="M32" s="4">
        <f t="shared" si="167"/>
        <v>2.5299125216370077E-2</v>
      </c>
      <c r="N32" s="4">
        <f t="shared" si="167"/>
        <v>3.7297330000438958E-2</v>
      </c>
      <c r="O32" s="4">
        <f t="shared" si="167"/>
        <v>3.070370368757349E-2</v>
      </c>
      <c r="P32" s="4">
        <f t="shared" si="167"/>
        <v>2.7995836809981165E-2</v>
      </c>
      <c r="Q32" s="4">
        <f t="shared" si="167"/>
        <v>3.3931085936845171E-2</v>
      </c>
      <c r="R32" s="4">
        <f t="shared" si="167"/>
        <v>2.1573445113350204E-2</v>
      </c>
      <c r="S32" s="4">
        <f t="shared" si="167"/>
        <v>2.6004579580076397E-2</v>
      </c>
    </row>
    <row r="33" spans="1:19" x14ac:dyDescent="0.25">
      <c r="A33">
        <v>2054</v>
      </c>
      <c r="B33" s="4">
        <f>0.2*B29+0.8*B34</f>
        <v>1.7582682473848102E-2</v>
      </c>
      <c r="C33" s="4">
        <f t="shared" ref="C33" si="168">0.2*C29+0.8*C34</f>
        <v>1.8176146002377647E-2</v>
      </c>
      <c r="D33" s="4">
        <f t="shared" ref="D33" si="169">0.2*D29+0.8*D34</f>
        <v>2.7264678553991718E-2</v>
      </c>
      <c r="E33" s="4">
        <f t="shared" ref="E33" si="170">0.2*E29+0.8*E34</f>
        <v>1.0940119101735354E-2</v>
      </c>
      <c r="F33" s="4">
        <f t="shared" ref="F33" si="171">0.2*F29+0.8*F34</f>
        <v>2.4129002532023106E-2</v>
      </c>
      <c r="G33" s="4">
        <f t="shared" ref="G33" si="172">0.2*G29+0.8*G34</f>
        <v>1.2871667911503381E-2</v>
      </c>
      <c r="H33" s="4">
        <f t="shared" ref="H33" si="173">0.2*H29+0.8*H34</f>
        <v>2.871428571428571E-2</v>
      </c>
      <c r="I33" s="4">
        <f t="shared" ref="I33" si="174">0.2*I29+0.8*I34</f>
        <v>1.452548598052225E-2</v>
      </c>
      <c r="J33" s="4">
        <f t="shared" ref="J33" si="175">0.2*J29+0.8*J34</f>
        <v>2.3239182789712612E-2</v>
      </c>
      <c r="K33" s="4">
        <f t="shared" ref="K33" si="176">0.2*K29+0.8*K34</f>
        <v>2.5533302938972421E-2</v>
      </c>
      <c r="L33" s="4">
        <f t="shared" ref="L33" si="177">0.2*L29+0.8*L34</f>
        <v>3.7209425187881284E-2</v>
      </c>
      <c r="M33" s="4">
        <f t="shared" ref="M33" si="178">0.2*M29+0.8*M34</f>
        <v>2.5173882022229633E-2</v>
      </c>
      <c r="N33" s="4">
        <f t="shared" ref="N33" si="179">0.2*N29+0.8*N34</f>
        <v>3.7112689752912036E-2</v>
      </c>
      <c r="O33" s="4">
        <f t="shared" ref="O33" si="180">0.2*O29+0.8*O34</f>
        <v>3.0551705154466695E-2</v>
      </c>
      <c r="P33" s="4">
        <f t="shared" ref="P33" si="181">0.2*P29+0.8*P34</f>
        <v>2.7857243558446609E-2</v>
      </c>
      <c r="Q33" s="4">
        <f t="shared" ref="Q33" si="182">0.2*Q29+0.8*Q34</f>
        <v>3.3763110263890492E-2</v>
      </c>
      <c r="R33" s="4">
        <f t="shared" ref="R33" si="183">0.2*R29+0.8*R34</f>
        <v>2.1466645880115799E-2</v>
      </c>
      <c r="S33" s="4">
        <f t="shared" ref="S33" si="184">0.2*S29+0.8*S34</f>
        <v>2.5875844037600775E-2</v>
      </c>
    </row>
    <row r="34" spans="1:19" x14ac:dyDescent="0.25">
      <c r="A34">
        <v>2055</v>
      </c>
      <c r="B34" s="4">
        <v>1.7495206441639901E-2</v>
      </c>
      <c r="C34" s="4">
        <v>1.7800581048343835E-2</v>
      </c>
      <c r="D34" s="4">
        <v>2.7129033387056432E-2</v>
      </c>
      <c r="E34" s="4">
        <v>1.088569064849289E-2</v>
      </c>
      <c r="F34" s="4">
        <v>2.4008957743306573E-2</v>
      </c>
      <c r="G34" s="4">
        <v>1.2807629762689931E-2</v>
      </c>
      <c r="H34" s="4">
        <v>2.8571428571428567E-2</v>
      </c>
      <c r="I34" s="4">
        <v>1.4453219881116666E-2</v>
      </c>
      <c r="J34" s="4">
        <v>2.3123564964888169E-2</v>
      </c>
      <c r="K34" s="4">
        <v>2.5406271581067084E-2</v>
      </c>
      <c r="L34" s="4">
        <v>3.7024303669533618E-2</v>
      </c>
      <c r="M34" s="4">
        <v>2.5048638828089186E-2</v>
      </c>
      <c r="N34" s="4">
        <v>3.6928049505385106E-2</v>
      </c>
      <c r="O34" s="4">
        <v>3.0399706621359893E-2</v>
      </c>
      <c r="P34" s="4">
        <v>2.7718650306912045E-2</v>
      </c>
      <c r="Q34" s="4">
        <v>3.3595134590935813E-2</v>
      </c>
      <c r="R34" s="4">
        <v>2.1359846646881391E-2</v>
      </c>
      <c r="S34" s="4">
        <v>2.5747108495125147E-2</v>
      </c>
    </row>
    <row r="35" spans="1:19" x14ac:dyDescent="0.25">
      <c r="A35">
        <v>2056</v>
      </c>
      <c r="B35" s="4">
        <f>0.8*B34+0.2*B39</f>
        <v>1.7407730409431704E-2</v>
      </c>
      <c r="C35" s="4">
        <f t="shared" ref="C35" si="185">0.8*C34+0.2*C39</f>
        <v>1.7451907651426936E-2</v>
      </c>
      <c r="D35" s="4">
        <f t="shared" ref="D35" si="186">0.8*D34+0.2*D39</f>
        <v>2.6993388220121151E-2</v>
      </c>
      <c r="E35" s="4">
        <f t="shared" ref="E35" si="187">0.8*E34+0.2*E39</f>
        <v>1.0831262195250426E-2</v>
      </c>
      <c r="F35" s="4">
        <f t="shared" ref="F35" si="188">0.8*F34+0.2*F39</f>
        <v>2.3888912954590041E-2</v>
      </c>
      <c r="G35" s="4">
        <f t="shared" ref="G35" si="189">0.8*G34+0.2*G39</f>
        <v>1.2743591613876481E-2</v>
      </c>
      <c r="H35" s="4">
        <f t="shared" ref="H35" si="190">0.8*H34+0.2*H39</f>
        <v>2.8428571428571425E-2</v>
      </c>
      <c r="I35" s="4">
        <f t="shared" ref="I35" si="191">0.8*I34+0.2*I39</f>
        <v>1.4380953781711083E-2</v>
      </c>
      <c r="J35" s="4">
        <f t="shared" ref="J35" si="192">0.8*J34+0.2*J39</f>
        <v>2.3007947140063729E-2</v>
      </c>
      <c r="K35" s="4">
        <f t="shared" ref="K35" si="193">0.8*K34+0.2*K39</f>
        <v>2.5279240223161747E-2</v>
      </c>
      <c r="L35" s="4">
        <f t="shared" ref="L35" si="194">0.8*L34+0.2*L39</f>
        <v>3.6839182151185951E-2</v>
      </c>
      <c r="M35" s="4">
        <f t="shared" ref="M35" si="195">0.8*M34+0.2*M39</f>
        <v>2.4923395633948742E-2</v>
      </c>
      <c r="N35" s="4">
        <f t="shared" ref="N35" si="196">0.8*N34+0.2*N39</f>
        <v>3.6743409257858184E-2</v>
      </c>
      <c r="O35" s="4">
        <f t="shared" ref="O35" si="197">0.8*O34+0.2*O39</f>
        <v>3.0247708088253097E-2</v>
      </c>
      <c r="P35" s="4">
        <f t="shared" ref="P35" si="198">0.8*P34+0.2*P39</f>
        <v>2.7580057055377489E-2</v>
      </c>
      <c r="Q35" s="4">
        <f t="shared" ref="Q35" si="199">0.8*Q34+0.2*Q39</f>
        <v>3.3427158917981134E-2</v>
      </c>
      <c r="R35" s="4">
        <f t="shared" ref="R35" si="200">0.8*R34+0.2*R39</f>
        <v>2.1253047413646985E-2</v>
      </c>
      <c r="S35" s="4">
        <f t="shared" ref="S35" si="201">0.8*S34+0.2*S39</f>
        <v>2.5618372952649526E-2</v>
      </c>
    </row>
    <row r="36" spans="1:19" x14ac:dyDescent="0.25">
      <c r="A36">
        <v>2057</v>
      </c>
      <c r="B36" s="4">
        <f>0.6*B34+0.4*B39</f>
        <v>1.7320254377223503E-2</v>
      </c>
      <c r="C36" s="4">
        <f t="shared" ref="C36:S36" si="202">0.6*C34+0.4*C39</f>
        <v>1.710323425451004E-2</v>
      </c>
      <c r="D36" s="4">
        <f t="shared" si="202"/>
        <v>2.6857743053185869E-2</v>
      </c>
      <c r="E36" s="4">
        <f t="shared" si="202"/>
        <v>1.077683374200796E-2</v>
      </c>
      <c r="F36" s="4">
        <f t="shared" si="202"/>
        <v>2.3768868165873508E-2</v>
      </c>
      <c r="G36" s="4">
        <f t="shared" si="202"/>
        <v>1.2679553465063033E-2</v>
      </c>
      <c r="H36" s="4">
        <f t="shared" si="202"/>
        <v>2.8285714285714282E-2</v>
      </c>
      <c r="I36" s="4">
        <f t="shared" si="202"/>
        <v>1.4308687682305499E-2</v>
      </c>
      <c r="J36" s="4">
        <f t="shared" si="202"/>
        <v>2.2892329315239289E-2</v>
      </c>
      <c r="K36" s="4">
        <f t="shared" si="202"/>
        <v>2.5152208865256414E-2</v>
      </c>
      <c r="L36" s="4">
        <f t="shared" si="202"/>
        <v>3.6654060632838284E-2</v>
      </c>
      <c r="M36" s="4">
        <f t="shared" si="202"/>
        <v>2.4798152439808291E-2</v>
      </c>
      <c r="N36" s="4">
        <f t="shared" si="202"/>
        <v>3.6558769010331255E-2</v>
      </c>
      <c r="O36" s="4">
        <f t="shared" si="202"/>
        <v>3.0095709555146295E-2</v>
      </c>
      <c r="P36" s="4">
        <f t="shared" si="202"/>
        <v>2.7441463803842926E-2</v>
      </c>
      <c r="Q36" s="4">
        <f t="shared" si="202"/>
        <v>3.3259183245026455E-2</v>
      </c>
      <c r="R36" s="4">
        <f t="shared" si="202"/>
        <v>2.1146248180412573E-2</v>
      </c>
      <c r="S36" s="4">
        <f t="shared" si="202"/>
        <v>2.5489637410173897E-2</v>
      </c>
    </row>
    <row r="37" spans="1:19" x14ac:dyDescent="0.25">
      <c r="A37">
        <v>2058</v>
      </c>
      <c r="B37" s="4">
        <f>0.4*B34+0.6*B39</f>
        <v>1.7232778345015302E-2</v>
      </c>
      <c r="C37" s="4">
        <f t="shared" ref="C37:S37" si="203">0.4*C34+0.6*C39</f>
        <v>1.6754560857593141E-2</v>
      </c>
      <c r="D37" s="4">
        <f t="shared" si="203"/>
        <v>2.6722097886250584E-2</v>
      </c>
      <c r="E37" s="4">
        <f t="shared" si="203"/>
        <v>1.0722405288765497E-2</v>
      </c>
      <c r="F37" s="4">
        <f t="shared" si="203"/>
        <v>2.3648823377156975E-2</v>
      </c>
      <c r="G37" s="4">
        <f t="shared" si="203"/>
        <v>1.2615515316249583E-2</v>
      </c>
      <c r="H37" s="4">
        <f t="shared" si="203"/>
        <v>2.8142857142857136E-2</v>
      </c>
      <c r="I37" s="4">
        <f t="shared" si="203"/>
        <v>1.4236421582899915E-2</v>
      </c>
      <c r="J37" s="4">
        <f t="shared" si="203"/>
        <v>2.2776711490414846E-2</v>
      </c>
      <c r="K37" s="4">
        <f t="shared" si="203"/>
        <v>2.5025177507351077E-2</v>
      </c>
      <c r="L37" s="4">
        <f t="shared" si="203"/>
        <v>3.646893911449061E-2</v>
      </c>
      <c r="M37" s="4">
        <f t="shared" si="203"/>
        <v>2.4672909245667847E-2</v>
      </c>
      <c r="N37" s="4">
        <f t="shared" si="203"/>
        <v>3.6374128762804332E-2</v>
      </c>
      <c r="O37" s="4">
        <f t="shared" si="203"/>
        <v>2.9943711022039497E-2</v>
      </c>
      <c r="P37" s="4">
        <f t="shared" si="203"/>
        <v>2.7302870552308366E-2</v>
      </c>
      <c r="Q37" s="4">
        <f t="shared" si="203"/>
        <v>3.3091207572071776E-2</v>
      </c>
      <c r="R37" s="4">
        <f t="shared" si="203"/>
        <v>2.1039448947178171E-2</v>
      </c>
      <c r="S37" s="4">
        <f t="shared" si="203"/>
        <v>2.5360901867698273E-2</v>
      </c>
    </row>
    <row r="38" spans="1:19" x14ac:dyDescent="0.25">
      <c r="A38">
        <v>2059</v>
      </c>
      <c r="B38" s="4">
        <f>0.2*B34+0.8*B39</f>
        <v>1.7145302312807104E-2</v>
      </c>
      <c r="C38" s="4">
        <f t="shared" ref="C38" si="204">0.2*C34+0.8*C39</f>
        <v>1.6405887460676245E-2</v>
      </c>
      <c r="D38" s="4">
        <f t="shared" ref="D38" si="205">0.2*D34+0.8*D39</f>
        <v>2.6586452719315305E-2</v>
      </c>
      <c r="E38" s="4">
        <f t="shared" ref="E38" si="206">0.2*E34+0.8*E39</f>
        <v>1.0667976835523032E-2</v>
      </c>
      <c r="F38" s="4">
        <f t="shared" ref="F38" si="207">0.2*F34+0.8*F39</f>
        <v>2.3528778588440442E-2</v>
      </c>
      <c r="G38" s="4">
        <f t="shared" ref="G38" si="208">0.2*G34+0.8*G39</f>
        <v>1.2551477167436133E-2</v>
      </c>
      <c r="H38" s="4">
        <f t="shared" ref="H38" si="209">0.2*H34+0.8*H39</f>
        <v>2.7999999999999997E-2</v>
      </c>
      <c r="I38" s="4">
        <f t="shared" ref="I38" si="210">0.2*I34+0.8*I39</f>
        <v>1.4164155483494333E-2</v>
      </c>
      <c r="J38" s="4">
        <f t="shared" ref="J38" si="211">0.2*J34+0.8*J39</f>
        <v>2.2661093665590406E-2</v>
      </c>
      <c r="K38" s="4">
        <f t="shared" ref="K38" si="212">0.2*K34+0.8*K39</f>
        <v>2.4898146149445743E-2</v>
      </c>
      <c r="L38" s="4">
        <f t="shared" ref="L38" si="213">0.2*L34+0.8*L39</f>
        <v>3.628381759614295E-2</v>
      </c>
      <c r="M38" s="4">
        <f t="shared" ref="M38" si="214">0.2*M34+0.8*M39</f>
        <v>2.4547666051527403E-2</v>
      </c>
      <c r="N38" s="4">
        <f t="shared" ref="N38" si="215">0.2*N34+0.8*N39</f>
        <v>3.618948851527741E-2</v>
      </c>
      <c r="O38" s="4">
        <f t="shared" ref="O38" si="216">0.2*O34+0.8*O39</f>
        <v>2.9791712488932698E-2</v>
      </c>
      <c r="P38" s="4">
        <f t="shared" ref="P38" si="217">0.2*P34+0.8*P39</f>
        <v>2.7164277300773809E-2</v>
      </c>
      <c r="Q38" s="4">
        <f t="shared" ref="Q38" si="218">0.2*Q34+0.8*Q39</f>
        <v>3.2923231899117097E-2</v>
      </c>
      <c r="R38" s="4">
        <f t="shared" ref="R38" si="219">0.2*R34+0.8*R39</f>
        <v>2.0932649713943763E-2</v>
      </c>
      <c r="S38" s="4">
        <f t="shared" ref="S38" si="220">0.2*S34+0.8*S39</f>
        <v>2.5232166325222648E-2</v>
      </c>
    </row>
    <row r="39" spans="1:19" x14ac:dyDescent="0.25">
      <c r="A39">
        <v>2060</v>
      </c>
      <c r="B39" s="4">
        <v>1.7057826280598903E-2</v>
      </c>
      <c r="C39" s="4">
        <v>1.6057214063759345E-2</v>
      </c>
      <c r="D39" s="4">
        <v>2.645080755238002E-2</v>
      </c>
      <c r="E39" s="4">
        <v>1.0613548382280567E-2</v>
      </c>
      <c r="F39" s="4">
        <v>2.340873379972391E-2</v>
      </c>
      <c r="G39" s="4">
        <v>1.2487439018622683E-2</v>
      </c>
      <c r="H39" s="4">
        <v>2.7857142857142851E-2</v>
      </c>
      <c r="I39" s="4">
        <v>1.4091889384088748E-2</v>
      </c>
      <c r="J39" s="4">
        <v>2.2545475840765963E-2</v>
      </c>
      <c r="K39" s="4">
        <v>2.4771114791540406E-2</v>
      </c>
      <c r="L39" s="4">
        <v>3.6098696077795277E-2</v>
      </c>
      <c r="M39" s="4">
        <v>2.4422422857386956E-2</v>
      </c>
      <c r="N39" s="4">
        <v>3.6004848267750481E-2</v>
      </c>
      <c r="O39" s="4">
        <v>2.9639713955825896E-2</v>
      </c>
      <c r="P39" s="4">
        <v>2.7025684049239246E-2</v>
      </c>
      <c r="Q39" s="4">
        <v>3.2755256226162419E-2</v>
      </c>
      <c r="R39" s="4">
        <v>2.0825850480709354E-2</v>
      </c>
      <c r="S39" s="4">
        <v>2.5103430782747019E-2</v>
      </c>
    </row>
    <row r="40" spans="1:19" x14ac:dyDescent="0.25">
      <c r="A40">
        <v>2061</v>
      </c>
      <c r="B40" s="4">
        <f>0.8*B39+0.2*B44</f>
        <v>1.6970350248390706E-2</v>
      </c>
      <c r="C40" s="4">
        <f t="shared" ref="C40" si="221">0.8*C39+0.2*C44</f>
        <v>1.6328736284768067E-2</v>
      </c>
      <c r="D40" s="4">
        <f t="shared" ref="D40" si="222">0.8*D39+0.2*D44</f>
        <v>2.6315162385444738E-2</v>
      </c>
      <c r="E40" s="4">
        <f t="shared" ref="E40" si="223">0.8*E39+0.2*E44</f>
        <v>1.0559119929038102E-2</v>
      </c>
      <c r="F40" s="4">
        <f t="shared" ref="F40" si="224">0.8*F39+0.2*F44</f>
        <v>2.3288689011007377E-2</v>
      </c>
      <c r="G40" s="4">
        <f t="shared" ref="G40" si="225">0.8*G39+0.2*G44</f>
        <v>1.2423400869809233E-2</v>
      </c>
      <c r="H40" s="4">
        <f t="shared" ref="H40" si="226">0.8*H39+0.2*H44</f>
        <v>2.7714285714285712E-2</v>
      </c>
      <c r="I40" s="4">
        <f t="shared" ref="I40" si="227">0.8*I39+0.2*I44</f>
        <v>1.4019623284683166E-2</v>
      </c>
      <c r="J40" s="4">
        <f t="shared" ref="J40" si="228">0.8*J39+0.2*J44</f>
        <v>2.2429858015941523E-2</v>
      </c>
      <c r="K40" s="4">
        <f t="shared" ref="K40" si="229">0.8*K39+0.2*K44</f>
        <v>2.4644083433635073E-2</v>
      </c>
      <c r="L40" s="4">
        <f t="shared" ref="L40" si="230">0.8*L39+0.2*L44</f>
        <v>3.591357455944761E-2</v>
      </c>
      <c r="M40" s="4">
        <f t="shared" ref="M40" si="231">0.8*M39+0.2*M44</f>
        <v>2.4297179663246508E-2</v>
      </c>
      <c r="N40" s="4">
        <f t="shared" ref="N40" si="232">0.8*N39+0.2*N44</f>
        <v>3.5820208020223558E-2</v>
      </c>
      <c r="O40" s="4">
        <f t="shared" ref="O40" si="233">0.8*O39+0.2*O44</f>
        <v>2.94877154227191E-2</v>
      </c>
      <c r="P40" s="4">
        <f t="shared" ref="P40" si="234">0.8*P39+0.2*P44</f>
        <v>2.6887090797704689E-2</v>
      </c>
      <c r="Q40" s="4">
        <f t="shared" ref="Q40" si="235">0.8*Q39+0.2*Q44</f>
        <v>3.258728055320774E-2</v>
      </c>
      <c r="R40" s="4">
        <f t="shared" ref="R40" si="236">0.8*R39+0.2*R44</f>
        <v>2.0719051247474946E-2</v>
      </c>
      <c r="S40" s="4">
        <f t="shared" ref="S40" si="237">0.8*S39+0.2*S44</f>
        <v>2.4974695240271398E-2</v>
      </c>
    </row>
    <row r="41" spans="1:19" x14ac:dyDescent="0.25">
      <c r="A41">
        <v>2062</v>
      </c>
      <c r="B41" s="4">
        <f>0.6*B39+0.4*B44</f>
        <v>1.6882874216182505E-2</v>
      </c>
      <c r="C41" s="4">
        <f t="shared" ref="C41:S41" si="238">0.6*C39+0.4*C44</f>
        <v>1.6600258505776785E-2</v>
      </c>
      <c r="D41" s="4">
        <f t="shared" si="238"/>
        <v>2.6179517218509453E-2</v>
      </c>
      <c r="E41" s="4">
        <f t="shared" si="238"/>
        <v>1.0504691475795639E-2</v>
      </c>
      <c r="F41" s="4">
        <f t="shared" si="238"/>
        <v>2.3168644222290844E-2</v>
      </c>
      <c r="G41" s="4">
        <f t="shared" si="238"/>
        <v>1.2359362720995783E-2</v>
      </c>
      <c r="H41" s="4">
        <f t="shared" si="238"/>
        <v>2.7571428571428566E-2</v>
      </c>
      <c r="I41" s="4">
        <f t="shared" si="238"/>
        <v>1.3947357185277582E-2</v>
      </c>
      <c r="J41" s="4">
        <f t="shared" si="238"/>
        <v>2.231424019111708E-2</v>
      </c>
      <c r="K41" s="4">
        <f t="shared" si="238"/>
        <v>2.4517052075729736E-2</v>
      </c>
      <c r="L41" s="4">
        <f t="shared" si="238"/>
        <v>3.5728453041099936E-2</v>
      </c>
      <c r="M41" s="4">
        <f t="shared" si="238"/>
        <v>2.4171936469106065E-2</v>
      </c>
      <c r="N41" s="4">
        <f t="shared" si="238"/>
        <v>3.5635567772696636E-2</v>
      </c>
      <c r="O41" s="4">
        <f t="shared" si="238"/>
        <v>2.9335716889612298E-2</v>
      </c>
      <c r="P41" s="4">
        <f t="shared" si="238"/>
        <v>2.6748497546170126E-2</v>
      </c>
      <c r="Q41" s="4">
        <f t="shared" si="238"/>
        <v>3.2419304880253061E-2</v>
      </c>
      <c r="R41" s="4">
        <f t="shared" si="238"/>
        <v>2.061225201424054E-2</v>
      </c>
      <c r="S41" s="4">
        <f t="shared" si="238"/>
        <v>2.4845959697795766E-2</v>
      </c>
    </row>
    <row r="42" spans="1:19" x14ac:dyDescent="0.25">
      <c r="A42">
        <v>2063</v>
      </c>
      <c r="B42" s="4">
        <f>0.4*B39+0.6*B44</f>
        <v>1.6795398183974304E-2</v>
      </c>
      <c r="C42" s="4">
        <f t="shared" ref="C42:S42" si="239">0.4*C39+0.6*C44</f>
        <v>1.6871780726785506E-2</v>
      </c>
      <c r="D42" s="4">
        <f t="shared" si="239"/>
        <v>2.6043872051574171E-2</v>
      </c>
      <c r="E42" s="4">
        <f t="shared" si="239"/>
        <v>1.0450263022553172E-2</v>
      </c>
      <c r="F42" s="4">
        <f t="shared" si="239"/>
        <v>2.3048599433574311E-2</v>
      </c>
      <c r="G42" s="4">
        <f t="shared" si="239"/>
        <v>1.2295324572182333E-2</v>
      </c>
      <c r="H42" s="4">
        <f t="shared" si="239"/>
        <v>2.7428571428571424E-2</v>
      </c>
      <c r="I42" s="4">
        <f t="shared" si="239"/>
        <v>1.3875091085871998E-2</v>
      </c>
      <c r="J42" s="4">
        <f t="shared" si="239"/>
        <v>2.219862236629264E-2</v>
      </c>
      <c r="K42" s="4">
        <f t="shared" si="239"/>
        <v>2.4390020717824399E-2</v>
      </c>
      <c r="L42" s="4">
        <f t="shared" si="239"/>
        <v>3.5543331522752269E-2</v>
      </c>
      <c r="M42" s="4">
        <f t="shared" si="239"/>
        <v>2.4046693274965617E-2</v>
      </c>
      <c r="N42" s="4">
        <f t="shared" si="239"/>
        <v>3.5450927525169706E-2</v>
      </c>
      <c r="O42" s="4">
        <f t="shared" si="239"/>
        <v>2.9183718356505496E-2</v>
      </c>
      <c r="P42" s="4">
        <f t="shared" si="239"/>
        <v>2.6609904294635566E-2</v>
      </c>
      <c r="Q42" s="4">
        <f t="shared" si="239"/>
        <v>3.2251329207298382E-2</v>
      </c>
      <c r="R42" s="4">
        <f t="shared" si="239"/>
        <v>2.0505452781006132E-2</v>
      </c>
      <c r="S42" s="4">
        <f t="shared" si="239"/>
        <v>2.4717224155320142E-2</v>
      </c>
    </row>
    <row r="43" spans="1:19" x14ac:dyDescent="0.25">
      <c r="A43">
        <v>2064</v>
      </c>
      <c r="B43" s="4">
        <f>0.2*B39+0.8*B44</f>
        <v>1.6707922151766107E-2</v>
      </c>
      <c r="C43" s="4">
        <f t="shared" ref="C43" si="240">0.2*C39+0.8*C44</f>
        <v>1.7143302947794224E-2</v>
      </c>
      <c r="D43" s="4">
        <f t="shared" ref="D43" si="241">0.2*D39+0.8*D44</f>
        <v>2.5908226884638889E-2</v>
      </c>
      <c r="E43" s="4">
        <f t="shared" ref="E43" si="242">0.2*E39+0.8*E44</f>
        <v>1.0395834569310709E-2</v>
      </c>
      <c r="F43" s="4">
        <f t="shared" ref="F43" si="243">0.2*F39+0.8*F44</f>
        <v>2.2928554644857779E-2</v>
      </c>
      <c r="G43" s="4">
        <f t="shared" ref="G43" si="244">0.2*G39+0.8*G44</f>
        <v>1.2231286423368884E-2</v>
      </c>
      <c r="H43" s="4">
        <f t="shared" ref="H43" si="245">0.2*H39+0.8*H44</f>
        <v>2.7285714285714281E-2</v>
      </c>
      <c r="I43" s="4">
        <f t="shared" ref="I43" si="246">0.2*I39+0.8*I44</f>
        <v>1.3802824986466417E-2</v>
      </c>
      <c r="J43" s="4">
        <f t="shared" ref="J43" si="247">0.2*J39+0.8*J44</f>
        <v>2.20830045414682E-2</v>
      </c>
      <c r="K43" s="4">
        <f t="shared" ref="K43" si="248">0.2*K39+0.8*K44</f>
        <v>2.4262989359919065E-2</v>
      </c>
      <c r="L43" s="4">
        <f t="shared" ref="L43" si="249">0.2*L39+0.8*L44</f>
        <v>3.5358210004404603E-2</v>
      </c>
      <c r="M43" s="4">
        <f t="shared" ref="M43" si="250">0.2*M39+0.8*M44</f>
        <v>2.3921450080825173E-2</v>
      </c>
      <c r="N43" s="4">
        <f t="shared" ref="N43" si="251">0.2*N39+0.8*N44</f>
        <v>3.5266287277642784E-2</v>
      </c>
      <c r="O43" s="4">
        <f t="shared" ref="O43" si="252">0.2*O39+0.8*O44</f>
        <v>2.9031719823398701E-2</v>
      </c>
      <c r="P43" s="4">
        <f t="shared" ref="P43" si="253">0.2*P39+0.8*P44</f>
        <v>2.647131104310101E-2</v>
      </c>
      <c r="Q43" s="4">
        <f t="shared" ref="Q43" si="254">0.2*Q39+0.8*Q44</f>
        <v>3.2083353534343703E-2</v>
      </c>
      <c r="R43" s="4">
        <f t="shared" ref="R43" si="255">0.2*R39+0.8*R44</f>
        <v>2.0398653547771727E-2</v>
      </c>
      <c r="S43" s="4">
        <f t="shared" ref="S43" si="256">0.2*S39+0.8*S44</f>
        <v>2.458848861284452E-2</v>
      </c>
    </row>
    <row r="44" spans="1:19" x14ac:dyDescent="0.25">
      <c r="A44">
        <v>2065</v>
      </c>
      <c r="B44" s="4">
        <v>1.6620446119557906E-2</v>
      </c>
      <c r="C44" s="4">
        <v>1.7414825168802946E-2</v>
      </c>
      <c r="D44" s="4">
        <v>2.5772581717703608E-2</v>
      </c>
      <c r="E44" s="4">
        <v>1.0341406116068244E-2</v>
      </c>
      <c r="F44" s="4">
        <v>2.2808509856141246E-2</v>
      </c>
      <c r="G44" s="4">
        <v>1.2167248274555434E-2</v>
      </c>
      <c r="H44" s="4">
        <v>2.7142857142857135E-2</v>
      </c>
      <c r="I44" s="4">
        <v>1.3730558887060831E-2</v>
      </c>
      <c r="J44" s="4">
        <v>2.1967386716643757E-2</v>
      </c>
      <c r="K44" s="4">
        <v>2.4135958002013728E-2</v>
      </c>
      <c r="L44" s="4">
        <v>3.5173088486056936E-2</v>
      </c>
      <c r="M44" s="4">
        <v>2.3796206886684726E-2</v>
      </c>
      <c r="N44" s="4">
        <v>3.5081647030115855E-2</v>
      </c>
      <c r="O44" s="4">
        <v>2.8879721290291899E-2</v>
      </c>
      <c r="P44" s="4">
        <v>2.6332717791566446E-2</v>
      </c>
      <c r="Q44" s="4">
        <v>3.1915377861389024E-2</v>
      </c>
      <c r="R44" s="4">
        <v>2.0291854314537318E-2</v>
      </c>
      <c r="S44" s="4">
        <v>2.4459753070368892E-2</v>
      </c>
    </row>
    <row r="45" spans="1:19" x14ac:dyDescent="0.25">
      <c r="A45">
        <v>2066</v>
      </c>
      <c r="B45" s="4">
        <f>0.8*B44+0.2*B49</f>
        <v>1.6532970087349705E-2</v>
      </c>
      <c r="C45" s="4">
        <f t="shared" ref="C45" si="257">0.8*C44+0.2*C49</f>
        <v>1.7461798471129733E-2</v>
      </c>
      <c r="D45" s="4">
        <f t="shared" ref="D45" si="258">0.8*D44+0.2*D49</f>
        <v>2.5636936550768326E-2</v>
      </c>
      <c r="E45" s="4">
        <f t="shared" ref="E45" si="259">0.8*E44+0.2*E49</f>
        <v>1.028697766282578E-2</v>
      </c>
      <c r="F45" s="4">
        <f t="shared" ref="F45" si="260">0.8*F44+0.2*F49</f>
        <v>2.2688465067424713E-2</v>
      </c>
      <c r="G45" s="4">
        <f t="shared" ref="G45" si="261">0.8*G44+0.2*G49</f>
        <v>1.2103210125741986E-2</v>
      </c>
      <c r="H45" s="4">
        <f t="shared" ref="H45" si="262">0.8*H44+0.2*H49</f>
        <v>2.6999999999999996E-2</v>
      </c>
      <c r="I45" s="4">
        <f t="shared" ref="I45" si="263">0.8*I44+0.2*I49</f>
        <v>1.3658292787655249E-2</v>
      </c>
      <c r="J45" s="4">
        <f t="shared" ref="J45" si="264">0.8*J44+0.2*J49</f>
        <v>2.1851768891819317E-2</v>
      </c>
      <c r="K45" s="4">
        <f t="shared" ref="K45" si="265">0.8*K44+0.2*K49</f>
        <v>2.4008926644108395E-2</v>
      </c>
      <c r="L45" s="4">
        <f t="shared" ref="L45" si="266">0.8*L44+0.2*L49</f>
        <v>3.4987966967709269E-2</v>
      </c>
      <c r="M45" s="4">
        <f t="shared" ref="M45" si="267">0.8*M44+0.2*M49</f>
        <v>2.3670963692544282E-2</v>
      </c>
      <c r="N45" s="4">
        <f t="shared" ref="N45" si="268">0.8*N44+0.2*N49</f>
        <v>3.4897006782588932E-2</v>
      </c>
      <c r="O45" s="4">
        <f t="shared" ref="O45" si="269">0.8*O44+0.2*O49</f>
        <v>2.87277227571851E-2</v>
      </c>
      <c r="P45" s="4">
        <f t="shared" ref="P45" si="270">0.8*P44+0.2*P49</f>
        <v>2.619412454003189E-2</v>
      </c>
      <c r="Q45" s="4">
        <f t="shared" ref="Q45" si="271">0.8*Q44+0.2*Q49</f>
        <v>3.1747402188434345E-2</v>
      </c>
      <c r="R45" s="4">
        <f t="shared" ref="R45" si="272">0.8*R44+0.2*R49</f>
        <v>2.0185055081302913E-2</v>
      </c>
      <c r="S45" s="4">
        <f t="shared" ref="S45" si="273">0.8*S44+0.2*S49</f>
        <v>2.4331017527893267E-2</v>
      </c>
    </row>
    <row r="46" spans="1:19" x14ac:dyDescent="0.25">
      <c r="A46">
        <v>2067</v>
      </c>
      <c r="B46" s="4">
        <f>0.6*B44+0.4*B49</f>
        <v>1.6445494055141507E-2</v>
      </c>
      <c r="C46" s="4">
        <f t="shared" ref="C46:S46" si="274">0.6*C44+0.4*C49</f>
        <v>1.7508771773456517E-2</v>
      </c>
      <c r="D46" s="4">
        <f t="shared" si="274"/>
        <v>2.5501291383833044E-2</v>
      </c>
      <c r="E46" s="4">
        <f t="shared" si="274"/>
        <v>1.0232549209583316E-2</v>
      </c>
      <c r="F46" s="4">
        <f t="shared" si="274"/>
        <v>2.256842027870818E-2</v>
      </c>
      <c r="G46" s="4">
        <f t="shared" si="274"/>
        <v>1.2039171976928536E-2</v>
      </c>
      <c r="H46" s="4">
        <f t="shared" si="274"/>
        <v>2.685714285714285E-2</v>
      </c>
      <c r="I46" s="4">
        <f t="shared" si="274"/>
        <v>1.3586026688249663E-2</v>
      </c>
      <c r="J46" s="4">
        <f t="shared" si="274"/>
        <v>2.1736151066994874E-2</v>
      </c>
      <c r="K46" s="4">
        <f t="shared" si="274"/>
        <v>2.3881895286203055E-2</v>
      </c>
      <c r="L46" s="4">
        <f t="shared" si="274"/>
        <v>3.4802845449361602E-2</v>
      </c>
      <c r="M46" s="4">
        <f t="shared" si="274"/>
        <v>2.3545720498403831E-2</v>
      </c>
      <c r="N46" s="4">
        <f t="shared" si="274"/>
        <v>3.4712366535062003E-2</v>
      </c>
      <c r="O46" s="4">
        <f t="shared" si="274"/>
        <v>2.8575724224078301E-2</v>
      </c>
      <c r="P46" s="4">
        <f t="shared" si="274"/>
        <v>2.6055531288497327E-2</v>
      </c>
      <c r="Q46" s="4">
        <f t="shared" si="274"/>
        <v>3.1579426515479667E-2</v>
      </c>
      <c r="R46" s="4">
        <f t="shared" si="274"/>
        <v>2.0078255848068504E-2</v>
      </c>
      <c r="S46" s="4">
        <f t="shared" si="274"/>
        <v>2.4202281985417642E-2</v>
      </c>
    </row>
    <row r="47" spans="1:19" x14ac:dyDescent="0.25">
      <c r="A47">
        <v>2068</v>
      </c>
      <c r="B47" s="4">
        <f>0.4*B44+0.6*B49</f>
        <v>1.6358018022933307E-2</v>
      </c>
      <c r="C47" s="4">
        <f t="shared" ref="C47:S47" si="275">0.4*C44+0.6*C49</f>
        <v>1.7555745075783301E-2</v>
      </c>
      <c r="D47" s="4">
        <f t="shared" si="275"/>
        <v>2.5365646216897759E-2</v>
      </c>
      <c r="E47" s="4">
        <f t="shared" si="275"/>
        <v>1.017812075634085E-2</v>
      </c>
      <c r="F47" s="4">
        <f t="shared" si="275"/>
        <v>2.2448375489991648E-2</v>
      </c>
      <c r="G47" s="4">
        <f t="shared" si="275"/>
        <v>1.1975133828115086E-2</v>
      </c>
      <c r="H47" s="4">
        <f t="shared" si="275"/>
        <v>2.6714285714285704E-2</v>
      </c>
      <c r="I47" s="4">
        <f t="shared" si="275"/>
        <v>1.3513760588844081E-2</v>
      </c>
      <c r="J47" s="4">
        <f t="shared" si="275"/>
        <v>2.1620533242170434E-2</v>
      </c>
      <c r="K47" s="4">
        <f t="shared" si="275"/>
        <v>2.3754863928297724E-2</v>
      </c>
      <c r="L47" s="4">
        <f t="shared" si="275"/>
        <v>3.4617723931013936E-2</v>
      </c>
      <c r="M47" s="4">
        <f t="shared" si="275"/>
        <v>2.3420477304263387E-2</v>
      </c>
      <c r="N47" s="4">
        <f t="shared" si="275"/>
        <v>3.4527726287535081E-2</v>
      </c>
      <c r="O47" s="4">
        <f t="shared" si="275"/>
        <v>2.8423725690971499E-2</v>
      </c>
      <c r="P47" s="4">
        <f t="shared" si="275"/>
        <v>2.5916938036962767E-2</v>
      </c>
      <c r="Q47" s="4">
        <f t="shared" si="275"/>
        <v>3.1411450842524988E-2</v>
      </c>
      <c r="R47" s="4">
        <f t="shared" si="275"/>
        <v>1.9971456614834095E-2</v>
      </c>
      <c r="S47" s="4">
        <f t="shared" si="275"/>
        <v>2.4073546442942018E-2</v>
      </c>
    </row>
    <row r="48" spans="1:19" x14ac:dyDescent="0.25">
      <c r="A48">
        <v>2069</v>
      </c>
      <c r="B48" s="4">
        <f>0.2*B44+0.8*B49</f>
        <v>1.6270541990725109E-2</v>
      </c>
      <c r="C48" s="4">
        <f t="shared" ref="C48" si="276">0.2*C44+0.8*C49</f>
        <v>1.7602718378110088E-2</v>
      </c>
      <c r="D48" s="4">
        <f t="shared" ref="D48" si="277">0.2*D44+0.8*D49</f>
        <v>2.523000104996248E-2</v>
      </c>
      <c r="E48" s="4">
        <f t="shared" ref="E48" si="278">0.2*E44+0.8*E49</f>
        <v>1.0123692303098387E-2</v>
      </c>
      <c r="F48" s="4">
        <f t="shared" ref="F48" si="279">0.2*F44+0.8*F49</f>
        <v>2.2328330701275115E-2</v>
      </c>
      <c r="G48" s="4">
        <f t="shared" ref="G48" si="280">0.2*G44+0.8*G49</f>
        <v>1.1911095679301636E-2</v>
      </c>
      <c r="H48" s="4">
        <f t="shared" ref="H48" si="281">0.2*H44+0.8*H49</f>
        <v>2.6571428571428565E-2</v>
      </c>
      <c r="I48" s="4">
        <f t="shared" ref="I48" si="282">0.2*I44+0.8*I49</f>
        <v>1.3441494489438498E-2</v>
      </c>
      <c r="J48" s="4">
        <f t="shared" ref="J48" si="283">0.2*J44+0.8*J49</f>
        <v>2.1504915417345991E-2</v>
      </c>
      <c r="K48" s="4">
        <f t="shared" ref="K48" si="284">0.2*K44+0.8*K49</f>
        <v>2.3627832570392387E-2</v>
      </c>
      <c r="L48" s="4">
        <f t="shared" ref="L48" si="285">0.2*L44+0.8*L49</f>
        <v>3.4432602412666262E-2</v>
      </c>
      <c r="M48" s="4">
        <f t="shared" ref="M48" si="286">0.2*M44+0.8*M49</f>
        <v>2.3295234110122943E-2</v>
      </c>
      <c r="N48" s="4">
        <f t="shared" ref="N48" si="287">0.2*N44+0.8*N49</f>
        <v>3.4343086040008158E-2</v>
      </c>
      <c r="O48" s="4">
        <f t="shared" ref="O48" si="288">0.2*O44+0.8*O49</f>
        <v>2.8271727157864704E-2</v>
      </c>
      <c r="P48" s="4">
        <f t="shared" ref="P48" si="289">0.2*P44+0.8*P49</f>
        <v>2.577834478542821E-2</v>
      </c>
      <c r="Q48" s="4">
        <f t="shared" ref="Q48" si="290">0.2*Q44+0.8*Q49</f>
        <v>3.1243475169570309E-2</v>
      </c>
      <c r="R48" s="4">
        <f t="shared" ref="R48" si="291">0.2*R44+0.8*R49</f>
        <v>1.986465738159969E-2</v>
      </c>
      <c r="S48" s="4">
        <f t="shared" ref="S48" si="292">0.2*S44+0.8*S49</f>
        <v>2.3944810900466393E-2</v>
      </c>
    </row>
    <row r="49" spans="1:19" x14ac:dyDescent="0.25">
      <c r="A49">
        <v>2070</v>
      </c>
      <c r="B49" s="4">
        <v>1.6183065958516908E-2</v>
      </c>
      <c r="C49" s="4">
        <v>1.7649691680436872E-2</v>
      </c>
      <c r="D49" s="4">
        <v>2.5094355883027195E-2</v>
      </c>
      <c r="E49" s="4">
        <v>1.0069263849855922E-2</v>
      </c>
      <c r="F49" s="4">
        <v>2.2208285912558582E-2</v>
      </c>
      <c r="G49" s="4">
        <v>1.1847057530488186E-2</v>
      </c>
      <c r="H49" s="4">
        <v>2.6428571428571419E-2</v>
      </c>
      <c r="I49" s="4">
        <v>1.3369228390032914E-2</v>
      </c>
      <c r="J49" s="4">
        <v>2.1389297592521551E-2</v>
      </c>
      <c r="K49" s="4">
        <v>2.3500801212487051E-2</v>
      </c>
      <c r="L49" s="4">
        <v>3.4247480894318595E-2</v>
      </c>
      <c r="M49" s="4">
        <v>2.3169990915982496E-2</v>
      </c>
      <c r="N49" s="4">
        <v>3.4158445792481229E-2</v>
      </c>
      <c r="O49" s="4">
        <v>2.8119728624757902E-2</v>
      </c>
      <c r="P49" s="4">
        <v>2.5639751533893647E-2</v>
      </c>
      <c r="Q49" s="4">
        <v>3.107549949661563E-2</v>
      </c>
      <c r="R49" s="4">
        <v>1.9757858148365282E-2</v>
      </c>
      <c r="S49" s="4">
        <v>2.3816075357990765E-2</v>
      </c>
    </row>
    <row r="50" spans="1:19" x14ac:dyDescent="0.25">
      <c r="A50">
        <v>2071</v>
      </c>
      <c r="B50" s="4">
        <f>0.8*B49+0.2*B54</f>
        <v>1.6095589926308711E-2</v>
      </c>
      <c r="C50" s="4">
        <f t="shared" ref="C50" si="293">0.8*C49+0.2*C54</f>
        <v>1.7504759336946757E-2</v>
      </c>
      <c r="D50" s="4">
        <f t="shared" ref="D50" si="294">0.8*D49+0.2*D54</f>
        <v>2.4958710716091917E-2</v>
      </c>
      <c r="E50" s="4">
        <f t="shared" ref="E50" si="295">0.8*E49+0.2*E54</f>
        <v>1.0014835396613457E-2</v>
      </c>
      <c r="F50" s="4">
        <f t="shared" ref="F50" si="296">0.8*F49+0.2*F54</f>
        <v>2.2088241123842049E-2</v>
      </c>
      <c r="G50" s="4">
        <f t="shared" ref="G50" si="297">0.8*G49+0.2*G54</f>
        <v>1.1783019381674737E-2</v>
      </c>
      <c r="H50" s="4">
        <f t="shared" ref="H50" si="298">0.8*H49+0.2*H54</f>
        <v>2.6285714285714277E-2</v>
      </c>
      <c r="I50" s="4">
        <f t="shared" ref="I50" si="299">0.8*I49+0.2*I54</f>
        <v>1.3296962290627332E-2</v>
      </c>
      <c r="J50" s="4">
        <f t="shared" ref="J50" si="300">0.8*J49+0.2*J54</f>
        <v>2.1273679767697111E-2</v>
      </c>
      <c r="K50" s="4">
        <f t="shared" ref="K50" si="301">0.8*K49+0.2*K54</f>
        <v>2.3373769854581717E-2</v>
      </c>
      <c r="L50" s="4">
        <f t="shared" ref="L50" si="302">0.8*L49+0.2*L54</f>
        <v>3.4062359375970928E-2</v>
      </c>
      <c r="M50" s="4">
        <f t="shared" ref="M50" si="303">0.8*M49+0.2*M54</f>
        <v>2.3044747721842049E-2</v>
      </c>
      <c r="N50" s="4">
        <f t="shared" ref="N50" si="304">0.8*N49+0.2*N54</f>
        <v>3.3973805544954307E-2</v>
      </c>
      <c r="O50" s="4">
        <f t="shared" ref="O50" si="305">0.8*O49+0.2*O54</f>
        <v>2.7967730091651103E-2</v>
      </c>
      <c r="P50" s="4">
        <f t="shared" ref="P50" si="306">0.8*P49+0.2*P54</f>
        <v>2.550115828235909E-2</v>
      </c>
      <c r="Q50" s="4">
        <f t="shared" ref="Q50" si="307">0.8*Q49+0.2*Q54</f>
        <v>3.0907523823660951E-2</v>
      </c>
      <c r="R50" s="4">
        <f t="shared" ref="R50" si="308">0.8*R49+0.2*R54</f>
        <v>1.9651058915130876E-2</v>
      </c>
      <c r="S50" s="4">
        <f t="shared" ref="S50" si="309">0.8*S49+0.2*S54</f>
        <v>2.368733981551514E-2</v>
      </c>
    </row>
    <row r="51" spans="1:19" x14ac:dyDescent="0.25">
      <c r="A51">
        <v>2072</v>
      </c>
      <c r="B51" s="4">
        <f>0.6*B49+0.4*B54</f>
        <v>1.600811389410051E-2</v>
      </c>
      <c r="C51" s="4">
        <f t="shared" ref="C51:S51" si="310">0.6*C49+0.4*C54</f>
        <v>1.7359826993456635E-2</v>
      </c>
      <c r="D51" s="4">
        <f t="shared" si="310"/>
        <v>2.4823065549156628E-2</v>
      </c>
      <c r="E51" s="4">
        <f t="shared" si="310"/>
        <v>9.9604069433709939E-3</v>
      </c>
      <c r="F51" s="4">
        <f t="shared" si="310"/>
        <v>2.1968196335125516E-2</v>
      </c>
      <c r="G51" s="4">
        <f t="shared" si="310"/>
        <v>1.1718981232861286E-2</v>
      </c>
      <c r="H51" s="4">
        <f t="shared" si="310"/>
        <v>2.6142857142857134E-2</v>
      </c>
      <c r="I51" s="4">
        <f t="shared" si="310"/>
        <v>1.3224696191221748E-2</v>
      </c>
      <c r="J51" s="4">
        <f t="shared" si="310"/>
        <v>2.1158061942872668E-2</v>
      </c>
      <c r="K51" s="4">
        <f t="shared" si="310"/>
        <v>2.324673849667638E-2</v>
      </c>
      <c r="L51" s="4">
        <f t="shared" si="310"/>
        <v>3.3877237857623262E-2</v>
      </c>
      <c r="M51" s="4">
        <f t="shared" si="310"/>
        <v>2.2919504527701605E-2</v>
      </c>
      <c r="N51" s="4">
        <f t="shared" si="310"/>
        <v>3.3789165297427377E-2</v>
      </c>
      <c r="O51" s="4">
        <f t="shared" si="310"/>
        <v>2.7815731558544301E-2</v>
      </c>
      <c r="P51" s="4">
        <f t="shared" si="310"/>
        <v>2.5362565030824527E-2</v>
      </c>
      <c r="Q51" s="4">
        <f t="shared" si="310"/>
        <v>3.0739548150706272E-2</v>
      </c>
      <c r="R51" s="4">
        <f t="shared" si="310"/>
        <v>1.9544259681896464E-2</v>
      </c>
      <c r="S51" s="4">
        <f t="shared" si="310"/>
        <v>2.3558604273039511E-2</v>
      </c>
    </row>
    <row r="52" spans="1:19" x14ac:dyDescent="0.25">
      <c r="A52">
        <v>2073</v>
      </c>
      <c r="B52" s="4">
        <f>0.4*B49+0.6*B54</f>
        <v>1.5920637861892309E-2</v>
      </c>
      <c r="C52" s="4">
        <f t="shared" ref="C52:S52" si="311">0.4*C49+0.6*C54</f>
        <v>1.7214894649966516E-2</v>
      </c>
      <c r="D52" s="4">
        <f t="shared" si="311"/>
        <v>2.4687420382221346E-2</v>
      </c>
      <c r="E52" s="4">
        <f t="shared" si="311"/>
        <v>9.9059784901285274E-3</v>
      </c>
      <c r="F52" s="4">
        <f t="shared" si="311"/>
        <v>2.1848151546408984E-2</v>
      </c>
      <c r="G52" s="4">
        <f t="shared" si="311"/>
        <v>1.1654943084047837E-2</v>
      </c>
      <c r="H52" s="4">
        <f t="shared" si="311"/>
        <v>2.5999999999999988E-2</v>
      </c>
      <c r="I52" s="4">
        <f t="shared" si="311"/>
        <v>1.3152430091816164E-2</v>
      </c>
      <c r="J52" s="4">
        <f t="shared" si="311"/>
        <v>2.1042444118048224E-2</v>
      </c>
      <c r="K52" s="4">
        <f t="shared" si="311"/>
        <v>2.3119707138771043E-2</v>
      </c>
      <c r="L52" s="4">
        <f t="shared" si="311"/>
        <v>3.3692116339275588E-2</v>
      </c>
      <c r="M52" s="4">
        <f t="shared" si="311"/>
        <v>2.2794261333561158E-2</v>
      </c>
      <c r="N52" s="4">
        <f t="shared" si="311"/>
        <v>3.3604525049900455E-2</v>
      </c>
      <c r="O52" s="4">
        <f t="shared" si="311"/>
        <v>2.7663733025437502E-2</v>
      </c>
      <c r="P52" s="4">
        <f t="shared" si="311"/>
        <v>2.5223971779289967E-2</v>
      </c>
      <c r="Q52" s="4">
        <f t="shared" si="311"/>
        <v>3.0571572477751593E-2</v>
      </c>
      <c r="R52" s="4">
        <f t="shared" si="311"/>
        <v>1.9437460448662063E-2</v>
      </c>
      <c r="S52" s="4">
        <f t="shared" si="311"/>
        <v>2.3429868730563887E-2</v>
      </c>
    </row>
    <row r="53" spans="1:19" x14ac:dyDescent="0.25">
      <c r="A53">
        <v>2074</v>
      </c>
      <c r="B53" s="4">
        <f>0.2*B49+0.8*B54</f>
        <v>1.5833161829684111E-2</v>
      </c>
      <c r="C53" s="4">
        <f t="shared" ref="C53" si="312">0.2*C49+0.8*C54</f>
        <v>1.7069962306476401E-2</v>
      </c>
      <c r="D53" s="4">
        <f t="shared" ref="D53" si="313">0.2*D49+0.8*D54</f>
        <v>2.4551775215286068E-2</v>
      </c>
      <c r="E53" s="4">
        <f t="shared" ref="E53" si="314">0.2*E49+0.8*E54</f>
        <v>9.8515500368860642E-3</v>
      </c>
      <c r="F53" s="4">
        <f t="shared" ref="F53" si="315">0.2*F49+0.8*F54</f>
        <v>2.1728106757692451E-2</v>
      </c>
      <c r="G53" s="4">
        <f t="shared" ref="G53" si="316">0.2*G49+0.8*G54</f>
        <v>1.1590904935234387E-2</v>
      </c>
      <c r="H53" s="4">
        <f t="shared" ref="H53" si="317">0.2*H49+0.8*H54</f>
        <v>2.5857142857142849E-2</v>
      </c>
      <c r="I53" s="4">
        <f t="shared" ref="I53" si="318">0.2*I49+0.8*I54</f>
        <v>1.3080163992410581E-2</v>
      </c>
      <c r="J53" s="4">
        <f t="shared" ref="J53" si="319">0.2*J49+0.8*J54</f>
        <v>2.0926826293223788E-2</v>
      </c>
      <c r="K53" s="4">
        <f t="shared" ref="K53" si="320">0.2*K49+0.8*K54</f>
        <v>2.299267578086571E-2</v>
      </c>
      <c r="L53" s="4">
        <f t="shared" ref="L53" si="321">0.2*L49+0.8*L54</f>
        <v>3.3506994820927921E-2</v>
      </c>
      <c r="M53" s="4">
        <f t="shared" ref="M53" si="322">0.2*M49+0.8*M54</f>
        <v>2.2669018139420714E-2</v>
      </c>
      <c r="N53" s="4">
        <f t="shared" ref="N53" si="323">0.2*N49+0.8*N54</f>
        <v>3.3419884802373526E-2</v>
      </c>
      <c r="O53" s="4">
        <f t="shared" ref="O53" si="324">0.2*O49+0.8*O54</f>
        <v>2.7511734492330703E-2</v>
      </c>
      <c r="P53" s="4">
        <f t="shared" ref="P53" si="325">0.2*P49+0.8*P54</f>
        <v>2.5085378527755411E-2</v>
      </c>
      <c r="Q53" s="4">
        <f t="shared" ref="Q53" si="326">0.2*Q49+0.8*Q54</f>
        <v>3.0403596804796915E-2</v>
      </c>
      <c r="R53" s="4">
        <f t="shared" ref="R53" si="327">0.2*R49+0.8*R54</f>
        <v>1.9330661215427654E-2</v>
      </c>
      <c r="S53" s="4">
        <f t="shared" ref="S53" si="328">0.2*S49+0.8*S54</f>
        <v>2.3301133188088262E-2</v>
      </c>
    </row>
    <row r="54" spans="1:19" x14ac:dyDescent="0.25">
      <c r="A54">
        <v>2075</v>
      </c>
      <c r="B54" s="4">
        <v>1.5745685797475911E-2</v>
      </c>
      <c r="C54" s="4">
        <v>1.6925029962986279E-2</v>
      </c>
      <c r="D54" s="4">
        <v>2.4416130048350783E-2</v>
      </c>
      <c r="E54" s="4">
        <v>9.7971215836435994E-3</v>
      </c>
      <c r="F54" s="4">
        <v>2.1608061968975918E-2</v>
      </c>
      <c r="G54" s="4">
        <v>1.1526866786420937E-2</v>
      </c>
      <c r="H54" s="4">
        <v>2.5714285714285703E-2</v>
      </c>
      <c r="I54" s="4">
        <v>1.3007897893004997E-2</v>
      </c>
      <c r="J54" s="4">
        <v>2.0811208468399345E-2</v>
      </c>
      <c r="K54" s="4">
        <v>2.2865644422960373E-2</v>
      </c>
      <c r="L54" s="4">
        <v>3.3321873302580254E-2</v>
      </c>
      <c r="M54" s="4">
        <v>2.2543774945280266E-2</v>
      </c>
      <c r="N54" s="4">
        <v>3.3235244554846603E-2</v>
      </c>
      <c r="O54" s="4">
        <v>2.7359735959223905E-2</v>
      </c>
      <c r="P54" s="4">
        <v>2.4946785276220847E-2</v>
      </c>
      <c r="Q54" s="4">
        <v>3.0235621131842236E-2</v>
      </c>
      <c r="R54" s="4">
        <v>1.9223861982193245E-2</v>
      </c>
      <c r="S54" s="4">
        <v>2.3172397645612637E-2</v>
      </c>
    </row>
    <row r="55" spans="1:19" x14ac:dyDescent="0.25">
      <c r="A55">
        <v>2076</v>
      </c>
      <c r="B55" s="4">
        <f>0.8*B54+0.2*B59</f>
        <v>1.5658209765267713E-2</v>
      </c>
      <c r="C55" s="4">
        <f t="shared" ref="C55" si="329">0.8*C54+0.2*C59</f>
        <v>1.6931073335163308E-2</v>
      </c>
      <c r="D55" s="4">
        <f t="shared" ref="D55" si="330">0.8*D54+0.2*D59</f>
        <v>2.4280484881415501E-2</v>
      </c>
      <c r="E55" s="4">
        <f t="shared" ref="E55" si="331">0.8*E54+0.2*E59</f>
        <v>9.7426931304011363E-3</v>
      </c>
      <c r="F55" s="4">
        <f t="shared" ref="F55" si="332">0.8*F54+0.2*F59</f>
        <v>2.1488017180259385E-2</v>
      </c>
      <c r="G55" s="4">
        <f t="shared" ref="G55" si="333">0.8*G54+0.2*G59</f>
        <v>1.1462828637607487E-2</v>
      </c>
      <c r="H55" s="4">
        <f t="shared" ref="H55" si="334">0.8*H54+0.2*H59</f>
        <v>2.5571428571428561E-2</v>
      </c>
      <c r="I55" s="4">
        <f t="shared" ref="I55" si="335">0.8*I54+0.2*I59</f>
        <v>1.2935631793599415E-2</v>
      </c>
      <c r="J55" s="4">
        <f t="shared" ref="J55" si="336">0.8*J54+0.2*J59</f>
        <v>2.0695590643574905E-2</v>
      </c>
      <c r="K55" s="4">
        <f t="shared" ref="K55" si="337">0.8*K54+0.2*K59</f>
        <v>2.2738613065055039E-2</v>
      </c>
      <c r="L55" s="4">
        <f t="shared" ref="L55" si="338">0.8*L54+0.2*L59</f>
        <v>3.3136751784232588E-2</v>
      </c>
      <c r="M55" s="4">
        <f t="shared" ref="M55" si="339">0.8*M54+0.2*M59</f>
        <v>2.2418531751139822E-2</v>
      </c>
      <c r="N55" s="4">
        <f t="shared" ref="N55" si="340">0.8*N54+0.2*N59</f>
        <v>3.3050604307319681E-2</v>
      </c>
      <c r="O55" s="4">
        <f t="shared" ref="O55" si="341">0.8*O54+0.2*O59</f>
        <v>2.7207737426117106E-2</v>
      </c>
      <c r="P55" s="4">
        <f t="shared" ref="P55" si="342">0.8*P54+0.2*P59</f>
        <v>2.4808192024686291E-2</v>
      </c>
      <c r="Q55" s="4">
        <f t="shared" ref="Q55" si="343">0.8*Q54+0.2*Q59</f>
        <v>3.0067645458887557E-2</v>
      </c>
      <c r="R55" s="4">
        <f t="shared" ref="R55" si="344">0.8*R54+0.2*R59</f>
        <v>1.9117062748958837E-2</v>
      </c>
      <c r="S55" s="4">
        <f t="shared" ref="S55" si="345">0.8*S54+0.2*S59</f>
        <v>2.3043662103137012E-2</v>
      </c>
    </row>
    <row r="56" spans="1:19" x14ac:dyDescent="0.25">
      <c r="A56">
        <v>2077</v>
      </c>
      <c r="B56" s="4">
        <f>0.6*B54+0.4*B59</f>
        <v>1.5570733733059512E-2</v>
      </c>
      <c r="C56" s="4">
        <f t="shared" ref="C56:S56" si="346">0.6*C54+0.4*C59</f>
        <v>1.6937116707340331E-2</v>
      </c>
      <c r="D56" s="4">
        <f t="shared" si="346"/>
        <v>2.4144839714480219E-2</v>
      </c>
      <c r="E56" s="4">
        <f t="shared" si="346"/>
        <v>9.6882646771586697E-3</v>
      </c>
      <c r="F56" s="4">
        <f t="shared" si="346"/>
        <v>2.1367972391542853E-2</v>
      </c>
      <c r="G56" s="4">
        <f t="shared" si="346"/>
        <v>1.1398790488794039E-2</v>
      </c>
      <c r="H56" s="4">
        <f t="shared" si="346"/>
        <v>2.5428571428571418E-2</v>
      </c>
      <c r="I56" s="4">
        <f t="shared" si="346"/>
        <v>1.2863365694193829E-2</v>
      </c>
      <c r="J56" s="4">
        <f t="shared" si="346"/>
        <v>2.0579972818750462E-2</v>
      </c>
      <c r="K56" s="4">
        <f t="shared" si="346"/>
        <v>2.2611581707149699E-2</v>
      </c>
      <c r="L56" s="4">
        <f t="shared" si="346"/>
        <v>3.2951630265884921E-2</v>
      </c>
      <c r="M56" s="4">
        <f t="shared" si="346"/>
        <v>2.2293288556999375E-2</v>
      </c>
      <c r="N56" s="4">
        <f t="shared" si="346"/>
        <v>3.2865964059792752E-2</v>
      </c>
      <c r="O56" s="4">
        <f t="shared" si="346"/>
        <v>2.7055738893010307E-2</v>
      </c>
      <c r="P56" s="4">
        <f t="shared" si="346"/>
        <v>2.4669598773151728E-2</v>
      </c>
      <c r="Q56" s="4">
        <f t="shared" si="346"/>
        <v>2.9899669785932878E-2</v>
      </c>
      <c r="R56" s="4">
        <f t="shared" si="346"/>
        <v>1.9010263515724431E-2</v>
      </c>
      <c r="S56" s="4">
        <f t="shared" si="346"/>
        <v>2.2914926560661388E-2</v>
      </c>
    </row>
    <row r="57" spans="1:19" x14ac:dyDescent="0.25">
      <c r="A57">
        <v>2078</v>
      </c>
      <c r="B57" s="4">
        <f>0.4*B54+0.6*B59</f>
        <v>1.5483257700851313E-2</v>
      </c>
      <c r="C57" s="4">
        <f t="shared" ref="C57:S57" si="347">0.4*C54+0.6*C59</f>
        <v>1.6943160079517357E-2</v>
      </c>
      <c r="D57" s="4">
        <f t="shared" si="347"/>
        <v>2.4009194547544938E-2</v>
      </c>
      <c r="E57" s="4">
        <f t="shared" si="347"/>
        <v>9.6338362239162048E-3</v>
      </c>
      <c r="F57" s="4">
        <f t="shared" si="347"/>
        <v>2.124792760282632E-2</v>
      </c>
      <c r="G57" s="4">
        <f t="shared" si="347"/>
        <v>1.1334752339980589E-2</v>
      </c>
      <c r="H57" s="4">
        <f t="shared" si="347"/>
        <v>2.5285714285714272E-2</v>
      </c>
      <c r="I57" s="4">
        <f t="shared" si="347"/>
        <v>1.2791099594788247E-2</v>
      </c>
      <c r="J57" s="4">
        <f t="shared" si="347"/>
        <v>2.0464354993926022E-2</v>
      </c>
      <c r="K57" s="4">
        <f t="shared" si="347"/>
        <v>2.2484550349244369E-2</v>
      </c>
      <c r="L57" s="4">
        <f t="shared" si="347"/>
        <v>3.2766508747537247E-2</v>
      </c>
      <c r="M57" s="4">
        <f t="shared" si="347"/>
        <v>2.2168045362858928E-2</v>
      </c>
      <c r="N57" s="4">
        <f t="shared" si="347"/>
        <v>3.2681323812265829E-2</v>
      </c>
      <c r="O57" s="4">
        <f t="shared" si="347"/>
        <v>2.6903740359903505E-2</v>
      </c>
      <c r="P57" s="4">
        <f t="shared" si="347"/>
        <v>2.4531005521617168E-2</v>
      </c>
      <c r="Q57" s="4">
        <f t="shared" si="347"/>
        <v>2.9731694112978199E-2</v>
      </c>
      <c r="R57" s="4">
        <f t="shared" si="347"/>
        <v>1.8903464282490023E-2</v>
      </c>
      <c r="S57" s="4">
        <f t="shared" si="347"/>
        <v>2.2786191018185763E-2</v>
      </c>
    </row>
    <row r="58" spans="1:19" x14ac:dyDescent="0.25">
      <c r="A58">
        <v>2079</v>
      </c>
      <c r="B58" s="4">
        <f>0.2*B54+0.8*B59</f>
        <v>1.5395781668643114E-2</v>
      </c>
      <c r="C58" s="4">
        <f t="shared" ref="C58" si="348">0.2*C54+0.8*C59</f>
        <v>1.6949203451694386E-2</v>
      </c>
      <c r="D58" s="4">
        <f t="shared" ref="D58" si="349">0.2*D54+0.8*D59</f>
        <v>2.3873549380609656E-2</v>
      </c>
      <c r="E58" s="4">
        <f t="shared" ref="E58" si="350">0.2*E54+0.8*E59</f>
        <v>9.5794077706737417E-3</v>
      </c>
      <c r="F58" s="4">
        <f t="shared" ref="F58" si="351">0.2*F54+0.8*F59</f>
        <v>2.1127882814109787E-2</v>
      </c>
      <c r="G58" s="4">
        <f t="shared" ref="G58" si="352">0.2*G54+0.8*G59</f>
        <v>1.1270714191167139E-2</v>
      </c>
      <c r="H58" s="4">
        <f t="shared" ref="H58" si="353">0.2*H54+0.8*H59</f>
        <v>2.514285714285713E-2</v>
      </c>
      <c r="I58" s="4">
        <f t="shared" ref="I58" si="354">0.2*I54+0.8*I59</f>
        <v>1.2718833495382664E-2</v>
      </c>
      <c r="J58" s="4">
        <f t="shared" ref="J58" si="355">0.2*J54+0.8*J59</f>
        <v>2.0348737169101579E-2</v>
      </c>
      <c r="K58" s="4">
        <f t="shared" ref="K58" si="356">0.2*K54+0.8*K59</f>
        <v>2.2357518991339032E-2</v>
      </c>
      <c r="L58" s="4">
        <f t="shared" ref="L58" si="357">0.2*L54+0.8*L59</f>
        <v>3.258138722918958E-2</v>
      </c>
      <c r="M58" s="4">
        <f t="shared" ref="M58" si="358">0.2*M54+0.8*M59</f>
        <v>2.2042802168718484E-2</v>
      </c>
      <c r="N58" s="4">
        <f t="shared" ref="N58" si="359">0.2*N54+0.8*N59</f>
        <v>3.2496683564738907E-2</v>
      </c>
      <c r="O58" s="4">
        <f t="shared" ref="O58" si="360">0.2*O54+0.8*O59</f>
        <v>2.675174182679671E-2</v>
      </c>
      <c r="P58" s="4">
        <f t="shared" ref="P58" si="361">0.2*P54+0.8*P59</f>
        <v>2.4392412270082611E-2</v>
      </c>
      <c r="Q58" s="4">
        <f t="shared" ref="Q58" si="362">0.2*Q54+0.8*Q59</f>
        <v>2.956371844002352E-2</v>
      </c>
      <c r="R58" s="4">
        <f t="shared" ref="R58" si="363">0.2*R54+0.8*R59</f>
        <v>1.8796665049255618E-2</v>
      </c>
      <c r="S58" s="4">
        <f t="shared" ref="S58" si="364">0.2*S54+0.8*S59</f>
        <v>2.2657455475710134E-2</v>
      </c>
    </row>
    <row r="59" spans="1:19" x14ac:dyDescent="0.25">
      <c r="A59">
        <v>2080</v>
      </c>
      <c r="B59" s="4">
        <v>1.5308305636434913E-2</v>
      </c>
      <c r="C59" s="4">
        <v>1.6955246823871412E-2</v>
      </c>
      <c r="D59" s="4">
        <v>2.3737904213674371E-2</v>
      </c>
      <c r="E59" s="4">
        <v>9.5249793174312768E-3</v>
      </c>
      <c r="F59" s="4">
        <v>2.1007838025393254E-2</v>
      </c>
      <c r="G59" s="4">
        <v>1.1206676042353689E-2</v>
      </c>
      <c r="H59" s="4">
        <v>2.4999999999999988E-2</v>
      </c>
      <c r="I59" s="4">
        <v>1.264656739597708E-2</v>
      </c>
      <c r="J59" s="4">
        <v>2.0233119344277139E-2</v>
      </c>
      <c r="K59" s="4">
        <v>2.2230487633433695E-2</v>
      </c>
      <c r="L59" s="4">
        <v>3.2396265710841914E-2</v>
      </c>
      <c r="M59" s="4">
        <v>2.1917558974578037E-2</v>
      </c>
      <c r="N59" s="4">
        <v>3.2312043317211978E-2</v>
      </c>
      <c r="O59" s="4">
        <v>2.6599743293689908E-2</v>
      </c>
      <c r="P59" s="4">
        <v>2.4253819018548048E-2</v>
      </c>
      <c r="Q59" s="4">
        <v>2.9395742767068841E-2</v>
      </c>
      <c r="R59" s="4">
        <v>1.8689865816021209E-2</v>
      </c>
      <c r="S59" s="4">
        <v>2.252871993323451E-2</v>
      </c>
    </row>
    <row r="60" spans="1:19" x14ac:dyDescent="0.25">
      <c r="A60">
        <v>2081</v>
      </c>
      <c r="B60" s="4">
        <f>0.8*B59+0.2*B64</f>
        <v>1.5220829604226715E-2</v>
      </c>
      <c r="C60" s="4">
        <f t="shared" ref="C60" si="365">0.8*C59+0.2*C64</f>
        <v>1.6868356023475167E-2</v>
      </c>
      <c r="D60" s="4">
        <f t="shared" ref="D60" si="366">0.8*D59+0.2*D64</f>
        <v>2.3602259046739089E-2</v>
      </c>
      <c r="E60" s="4">
        <f t="shared" ref="E60" si="367">0.8*E59+0.2*E64</f>
        <v>9.470550864188812E-3</v>
      </c>
      <c r="F60" s="4">
        <f t="shared" ref="F60" si="368">0.8*F59+0.2*F64</f>
        <v>2.0887793236676722E-2</v>
      </c>
      <c r="G60" s="4">
        <f t="shared" ref="G60" si="369">0.8*G59+0.2*G64</f>
        <v>1.1142637893540239E-2</v>
      </c>
      <c r="H60" s="4">
        <f t="shared" ref="H60" si="370">0.8*H59+0.2*H64</f>
        <v>2.4857142857142845E-2</v>
      </c>
      <c r="I60" s="4">
        <f t="shared" ref="I60" si="371">0.8*I59+0.2*I64</f>
        <v>1.2574301296571496E-2</v>
      </c>
      <c r="J60" s="4">
        <f t="shared" ref="J60" si="372">0.8*J59+0.2*J64</f>
        <v>2.0117501519452699E-2</v>
      </c>
      <c r="K60" s="4">
        <f t="shared" ref="K60" si="373">0.8*K59+0.2*K64</f>
        <v>2.2103456275528358E-2</v>
      </c>
      <c r="L60" s="4">
        <f t="shared" ref="L60" si="374">0.8*L59+0.2*L64</f>
        <v>3.2211144192494247E-2</v>
      </c>
      <c r="M60" s="4">
        <f t="shared" ref="M60" si="375">0.8*M59+0.2*M64</f>
        <v>2.1792315780437593E-2</v>
      </c>
      <c r="N60" s="4">
        <f t="shared" ref="N60" si="376">0.8*N59+0.2*N64</f>
        <v>3.2127403069685055E-2</v>
      </c>
      <c r="O60" s="4">
        <f t="shared" ref="O60" si="377">0.8*O59+0.2*O64</f>
        <v>2.6447744760583113E-2</v>
      </c>
      <c r="P60" s="4">
        <f t="shared" ref="P60" si="378">0.8*P59+0.2*P64</f>
        <v>2.4115225767013491E-2</v>
      </c>
      <c r="Q60" s="4">
        <f t="shared" ref="Q60" si="379">0.8*Q59+0.2*Q64</f>
        <v>2.9227767094114163E-2</v>
      </c>
      <c r="R60" s="4">
        <f t="shared" ref="R60" si="380">0.8*R59+0.2*R64</f>
        <v>1.8583066582786804E-2</v>
      </c>
      <c r="S60" s="4">
        <f t="shared" ref="S60" si="381">0.8*S59+0.2*S64</f>
        <v>2.2399984390758885E-2</v>
      </c>
    </row>
    <row r="61" spans="1:19" x14ac:dyDescent="0.25">
      <c r="A61">
        <v>2082</v>
      </c>
      <c r="B61" s="4">
        <f>0.6*B59+0.4*B64</f>
        <v>1.5133353572018515E-2</v>
      </c>
      <c r="C61" s="4">
        <f t="shared" ref="C61:S61" si="382">0.6*C59+0.4*C64</f>
        <v>1.6781465223078926E-2</v>
      </c>
      <c r="D61" s="4">
        <f t="shared" si="382"/>
        <v>2.3466613879803803E-2</v>
      </c>
      <c r="E61" s="4">
        <f t="shared" si="382"/>
        <v>9.4161224109463471E-3</v>
      </c>
      <c r="F61" s="4">
        <f t="shared" si="382"/>
        <v>2.0767748447960189E-2</v>
      </c>
      <c r="G61" s="4">
        <f t="shared" si="382"/>
        <v>1.1078599744726789E-2</v>
      </c>
      <c r="H61" s="4">
        <f t="shared" si="382"/>
        <v>2.4714285714285703E-2</v>
      </c>
      <c r="I61" s="4">
        <f t="shared" si="382"/>
        <v>1.2502035197165914E-2</v>
      </c>
      <c r="J61" s="4">
        <f t="shared" si="382"/>
        <v>2.0001883694628256E-2</v>
      </c>
      <c r="K61" s="4">
        <f t="shared" si="382"/>
        <v>2.1976424917623024E-2</v>
      </c>
      <c r="L61" s="4">
        <f t="shared" si="382"/>
        <v>3.2026022674146573E-2</v>
      </c>
      <c r="M61" s="4">
        <f t="shared" si="382"/>
        <v>2.1667072586297145E-2</v>
      </c>
      <c r="N61" s="4">
        <f t="shared" si="382"/>
        <v>3.1942762822158126E-2</v>
      </c>
      <c r="O61" s="4">
        <f t="shared" si="382"/>
        <v>2.629574622747631E-2</v>
      </c>
      <c r="P61" s="4">
        <f t="shared" si="382"/>
        <v>2.3976632515478928E-2</v>
      </c>
      <c r="Q61" s="4">
        <f t="shared" si="382"/>
        <v>2.9059791421159484E-2</v>
      </c>
      <c r="R61" s="4">
        <f t="shared" si="382"/>
        <v>1.8476267349552395E-2</v>
      </c>
      <c r="S61" s="4">
        <f t="shared" si="382"/>
        <v>2.227124884828326E-2</v>
      </c>
    </row>
    <row r="62" spans="1:19" x14ac:dyDescent="0.25">
      <c r="A62">
        <v>2083</v>
      </c>
      <c r="B62" s="4">
        <f>0.4*B59+0.6*B64</f>
        <v>1.5045877539810314E-2</v>
      </c>
      <c r="C62" s="4">
        <f t="shared" ref="C62:S62" si="383">0.4*C59+0.6*C64</f>
        <v>1.6694574422682681E-2</v>
      </c>
      <c r="D62" s="4">
        <f t="shared" si="383"/>
        <v>2.3330968712868522E-2</v>
      </c>
      <c r="E62" s="4">
        <f t="shared" si="383"/>
        <v>9.361693957703884E-3</v>
      </c>
      <c r="F62" s="4">
        <f t="shared" si="383"/>
        <v>2.0647703659243656E-2</v>
      </c>
      <c r="G62" s="4">
        <f t="shared" si="383"/>
        <v>1.1014561595913339E-2</v>
      </c>
      <c r="H62" s="4">
        <f t="shared" si="383"/>
        <v>2.4571428571428557E-2</v>
      </c>
      <c r="I62" s="4">
        <f t="shared" si="383"/>
        <v>1.242976909776033E-2</v>
      </c>
      <c r="J62" s="4">
        <f t="shared" si="383"/>
        <v>1.9886265869803813E-2</v>
      </c>
      <c r="K62" s="4">
        <f t="shared" si="383"/>
        <v>2.1849393559717687E-2</v>
      </c>
      <c r="L62" s="4">
        <f t="shared" si="383"/>
        <v>3.1840901155798906E-2</v>
      </c>
      <c r="M62" s="4">
        <f t="shared" si="383"/>
        <v>2.1541829392156701E-2</v>
      </c>
      <c r="N62" s="4">
        <f t="shared" si="383"/>
        <v>3.1758122574631203E-2</v>
      </c>
      <c r="O62" s="4">
        <f t="shared" si="383"/>
        <v>2.6143747694369508E-2</v>
      </c>
      <c r="P62" s="4">
        <f t="shared" si="383"/>
        <v>2.3838039263944368E-2</v>
      </c>
      <c r="Q62" s="4">
        <f t="shared" si="383"/>
        <v>2.8891815748204805E-2</v>
      </c>
      <c r="R62" s="4">
        <f t="shared" si="383"/>
        <v>1.836946811631799E-2</v>
      </c>
      <c r="S62" s="4">
        <f t="shared" si="383"/>
        <v>2.2142513305807632E-2</v>
      </c>
    </row>
    <row r="63" spans="1:19" x14ac:dyDescent="0.25">
      <c r="A63">
        <v>2084</v>
      </c>
      <c r="B63" s="4">
        <f>0.2*B59+0.8*B64</f>
        <v>1.4958401507602116E-2</v>
      </c>
      <c r="C63" s="4">
        <f t="shared" ref="C63" si="384">0.2*C59+0.8*C64</f>
        <v>1.6607683622286439E-2</v>
      </c>
      <c r="D63" s="4">
        <f t="shared" ref="D63" si="385">0.2*D59+0.8*D64</f>
        <v>2.319532354593324E-2</v>
      </c>
      <c r="E63" s="4">
        <f t="shared" ref="E63" si="386">0.2*E59+0.8*E64</f>
        <v>9.3072655044614191E-3</v>
      </c>
      <c r="F63" s="4">
        <f t="shared" ref="F63" si="387">0.2*F59+0.8*F64</f>
        <v>2.0527658870527123E-2</v>
      </c>
      <c r="G63" s="4">
        <f t="shared" ref="G63" si="388">0.2*G59+0.8*G64</f>
        <v>1.095052344709989E-2</v>
      </c>
      <c r="H63" s="4">
        <f t="shared" ref="H63" si="389">0.2*H59+0.8*H64</f>
        <v>2.4428571428571418E-2</v>
      </c>
      <c r="I63" s="4">
        <f t="shared" ref="I63" si="390">0.2*I59+0.8*I64</f>
        <v>1.2357502998354747E-2</v>
      </c>
      <c r="J63" s="4">
        <f t="shared" ref="J63" si="391">0.2*J59+0.8*J64</f>
        <v>1.9770648044979376E-2</v>
      </c>
      <c r="K63" s="4">
        <f t="shared" ref="K63" si="392">0.2*K59+0.8*K64</f>
        <v>2.1722362201812354E-2</v>
      </c>
      <c r="L63" s="4">
        <f t="shared" ref="L63" si="393">0.2*L59+0.8*L64</f>
        <v>3.1655779637451247E-2</v>
      </c>
      <c r="M63" s="4">
        <f t="shared" ref="M63" si="394">0.2*M59+0.8*M64</f>
        <v>2.1416586198016254E-2</v>
      </c>
      <c r="N63" s="4">
        <f t="shared" ref="N63" si="395">0.2*N59+0.8*N64</f>
        <v>3.1573482327104281E-2</v>
      </c>
      <c r="O63" s="4">
        <f t="shared" ref="O63" si="396">0.2*O59+0.8*O64</f>
        <v>2.5991749161262713E-2</v>
      </c>
      <c r="P63" s="4">
        <f t="shared" ref="P63" si="397">0.2*P59+0.8*P64</f>
        <v>2.3699446012409812E-2</v>
      </c>
      <c r="Q63" s="4">
        <f t="shared" ref="Q63" si="398">0.2*Q59+0.8*Q64</f>
        <v>2.8723840075250126E-2</v>
      </c>
      <c r="R63" s="4">
        <f t="shared" ref="R63" si="399">0.2*R59+0.8*R64</f>
        <v>1.8262668883083581E-2</v>
      </c>
      <c r="S63" s="4">
        <f t="shared" ref="S63" si="400">0.2*S59+0.8*S64</f>
        <v>2.201377776333201E-2</v>
      </c>
    </row>
    <row r="64" spans="1:19" x14ac:dyDescent="0.25">
      <c r="A64">
        <v>2085</v>
      </c>
      <c r="B64" s="4">
        <v>1.4870925475393915E-2</v>
      </c>
      <c r="C64" s="4">
        <v>1.6520792821890194E-2</v>
      </c>
      <c r="D64" s="4">
        <v>2.3059678378997958E-2</v>
      </c>
      <c r="E64" s="4">
        <v>9.2528370512189543E-3</v>
      </c>
      <c r="F64" s="4">
        <v>2.0407614081810591E-2</v>
      </c>
      <c r="G64" s="4">
        <v>1.088648529828644E-2</v>
      </c>
      <c r="H64" s="4">
        <v>2.4285714285714272E-2</v>
      </c>
      <c r="I64" s="4">
        <v>1.2285236898949163E-2</v>
      </c>
      <c r="J64" s="4">
        <v>1.9655030220154933E-2</v>
      </c>
      <c r="K64" s="4">
        <v>2.1595330843907017E-2</v>
      </c>
      <c r="L64" s="4">
        <v>3.1470658119103573E-2</v>
      </c>
      <c r="M64" s="4">
        <v>2.1291343003875807E-2</v>
      </c>
      <c r="N64" s="4">
        <v>3.1388842079577352E-2</v>
      </c>
      <c r="O64" s="4">
        <v>2.5839750628155911E-2</v>
      </c>
      <c r="P64" s="4">
        <v>2.3560852760875248E-2</v>
      </c>
      <c r="Q64" s="4">
        <v>2.8555864402295447E-2</v>
      </c>
      <c r="R64" s="4">
        <v>1.8155869649849173E-2</v>
      </c>
      <c r="S64" s="4">
        <v>2.1885042220856382E-2</v>
      </c>
    </row>
    <row r="65" spans="1:19" x14ac:dyDescent="0.25">
      <c r="A65">
        <v>2086</v>
      </c>
      <c r="B65" s="4">
        <f>0.8*B64+0.2*B69</f>
        <v>1.4783449443185716E-2</v>
      </c>
      <c r="C65" s="4">
        <f t="shared" ref="C65" si="401">0.8*C64+0.2*C69</f>
        <v>1.634571299072949E-2</v>
      </c>
      <c r="D65" s="4">
        <f t="shared" ref="D65" si="402">0.8*D64+0.2*D69</f>
        <v>2.2924033212062676E-2</v>
      </c>
      <c r="E65" s="4">
        <f t="shared" ref="E65" si="403">0.8*E64+0.2*E69</f>
        <v>9.1984085979764894E-3</v>
      </c>
      <c r="F65" s="4">
        <f t="shared" ref="F65" si="404">0.8*F64+0.2*F69</f>
        <v>2.0287569293094058E-2</v>
      </c>
      <c r="G65" s="4">
        <f t="shared" ref="G65" si="405">0.8*G64+0.2*G69</f>
        <v>1.0822447149472992E-2</v>
      </c>
      <c r="H65" s="4">
        <f t="shared" ref="H65" si="406">0.8*H64+0.2*H69</f>
        <v>2.4142857142857133E-2</v>
      </c>
      <c r="I65" s="4">
        <f t="shared" ref="I65" si="407">0.8*I64+0.2*I69</f>
        <v>1.2212970799543581E-2</v>
      </c>
      <c r="J65" s="4">
        <f t="shared" ref="J65" si="408">0.8*J64+0.2*J69</f>
        <v>1.9539412395330493E-2</v>
      </c>
      <c r="K65" s="4">
        <f t="shared" ref="K65" si="409">0.8*K64+0.2*K69</f>
        <v>2.1468299486001683E-2</v>
      </c>
      <c r="L65" s="4">
        <f t="shared" ref="L65" si="410">0.8*L64+0.2*L69</f>
        <v>3.1285536600755906E-2</v>
      </c>
      <c r="M65" s="4">
        <f t="shared" ref="M65" si="411">0.8*M64+0.2*M69</f>
        <v>2.1166099809735363E-2</v>
      </c>
      <c r="N65" s="4">
        <f t="shared" ref="N65" si="412">0.8*N64+0.2*N69</f>
        <v>3.1204201832050429E-2</v>
      </c>
      <c r="O65" s="4">
        <f t="shared" ref="O65" si="413">0.8*O64+0.2*O69</f>
        <v>2.5687752095049116E-2</v>
      </c>
      <c r="P65" s="4">
        <f t="shared" ref="P65" si="414">0.8*P64+0.2*P69</f>
        <v>2.3422259509340692E-2</v>
      </c>
      <c r="Q65" s="4">
        <f t="shared" ref="Q65" si="415">0.8*Q64+0.2*Q69</f>
        <v>2.8387888729340768E-2</v>
      </c>
      <c r="R65" s="4">
        <f t="shared" ref="R65" si="416">0.8*R64+0.2*R69</f>
        <v>1.8049070416614767E-2</v>
      </c>
      <c r="S65" s="4">
        <f t="shared" ref="S65" si="417">0.8*S64+0.2*S69</f>
        <v>2.1756306678380757E-2</v>
      </c>
    </row>
    <row r="66" spans="1:19" x14ac:dyDescent="0.25">
      <c r="A66">
        <v>2087</v>
      </c>
      <c r="B66" s="4">
        <f>0.6*B64+0.4*B69</f>
        <v>1.4695973410977517E-2</v>
      </c>
      <c r="C66" s="4">
        <f t="shared" ref="C66:S66" si="418">0.6*C64+0.4*C69</f>
        <v>1.6170633159568785E-2</v>
      </c>
      <c r="D66" s="4">
        <f t="shared" si="418"/>
        <v>2.2788388045127395E-2</v>
      </c>
      <c r="E66" s="4">
        <f t="shared" si="418"/>
        <v>9.1439801447340263E-3</v>
      </c>
      <c r="F66" s="4">
        <f t="shared" si="418"/>
        <v>2.0167524504377525E-2</v>
      </c>
      <c r="G66" s="4">
        <f t="shared" si="418"/>
        <v>1.0758409000659542E-2</v>
      </c>
      <c r="H66" s="4">
        <f t="shared" si="418"/>
        <v>2.3999999999999987E-2</v>
      </c>
      <c r="I66" s="4">
        <f t="shared" si="418"/>
        <v>1.2140704700137997E-2</v>
      </c>
      <c r="J66" s="4">
        <f t="shared" si="418"/>
        <v>1.942379457050605E-2</v>
      </c>
      <c r="K66" s="4">
        <f t="shared" si="418"/>
        <v>2.1341268128096343E-2</v>
      </c>
      <c r="L66" s="4">
        <f t="shared" si="418"/>
        <v>3.1100415082408236E-2</v>
      </c>
      <c r="M66" s="4">
        <f t="shared" si="418"/>
        <v>2.1040856615594915E-2</v>
      </c>
      <c r="N66" s="4">
        <f t="shared" si="418"/>
        <v>3.10195615845235E-2</v>
      </c>
      <c r="O66" s="4">
        <f t="shared" si="418"/>
        <v>2.5535753561942313E-2</v>
      </c>
      <c r="P66" s="4">
        <f t="shared" si="418"/>
        <v>2.3283666257806125E-2</v>
      </c>
      <c r="Q66" s="4">
        <f t="shared" si="418"/>
        <v>2.8219913056386089E-2</v>
      </c>
      <c r="R66" s="4">
        <f t="shared" si="418"/>
        <v>1.7942271183380359E-2</v>
      </c>
      <c r="S66" s="4">
        <f t="shared" si="418"/>
        <v>2.1627571135905133E-2</v>
      </c>
    </row>
    <row r="67" spans="1:19" x14ac:dyDescent="0.25">
      <c r="A67">
        <v>2088</v>
      </c>
      <c r="B67" s="4">
        <f>0.4*B64+0.6*B69</f>
        <v>1.4608497378769316E-2</v>
      </c>
      <c r="C67" s="4">
        <f t="shared" ref="C67:S67" si="419">0.4*C64+0.6*C69</f>
        <v>1.5995553328408081E-2</v>
      </c>
      <c r="D67" s="4">
        <f t="shared" si="419"/>
        <v>2.2652742878192113E-2</v>
      </c>
      <c r="E67" s="4">
        <f t="shared" si="419"/>
        <v>9.0895516914915615E-3</v>
      </c>
      <c r="F67" s="4">
        <f t="shared" si="419"/>
        <v>2.0047479715660992E-2</v>
      </c>
      <c r="G67" s="4">
        <f t="shared" si="419"/>
        <v>1.0694370851846092E-2</v>
      </c>
      <c r="H67" s="4">
        <f t="shared" si="419"/>
        <v>2.3857142857142841E-2</v>
      </c>
      <c r="I67" s="4">
        <f t="shared" si="419"/>
        <v>1.2068438600732413E-2</v>
      </c>
      <c r="J67" s="4">
        <f t="shared" si="419"/>
        <v>1.930817674568161E-2</v>
      </c>
      <c r="K67" s="4">
        <f t="shared" si="419"/>
        <v>2.1214236770191013E-2</v>
      </c>
      <c r="L67" s="4">
        <f t="shared" si="419"/>
        <v>3.0915293564060569E-2</v>
      </c>
      <c r="M67" s="4">
        <f t="shared" si="419"/>
        <v>2.0915613421454468E-2</v>
      </c>
      <c r="N67" s="4">
        <f t="shared" si="419"/>
        <v>3.0834921336996578E-2</v>
      </c>
      <c r="O67" s="4">
        <f t="shared" si="419"/>
        <v>2.5383755028835511E-2</v>
      </c>
      <c r="P67" s="4">
        <f t="shared" si="419"/>
        <v>2.3145073006271569E-2</v>
      </c>
      <c r="Q67" s="4">
        <f t="shared" si="419"/>
        <v>2.8051937383431411E-2</v>
      </c>
      <c r="R67" s="4">
        <f t="shared" si="419"/>
        <v>1.783547195014595E-2</v>
      </c>
      <c r="S67" s="4">
        <f t="shared" si="419"/>
        <v>2.1498835593429508E-2</v>
      </c>
    </row>
    <row r="68" spans="1:19" x14ac:dyDescent="0.25">
      <c r="A68">
        <v>2089</v>
      </c>
      <c r="B68" s="4">
        <f>0.2*B64+0.8*B69</f>
        <v>1.4521021346561119E-2</v>
      </c>
      <c r="C68" s="4">
        <f t="shared" ref="C68" si="420">0.2*C64+0.8*C69</f>
        <v>1.5820473497247377E-2</v>
      </c>
      <c r="D68" s="4">
        <f t="shared" ref="D68" si="421">0.2*D64+0.8*D69</f>
        <v>2.2517097711256828E-2</v>
      </c>
      <c r="E68" s="4">
        <f t="shared" ref="E68" si="422">0.2*E64+0.8*E69</f>
        <v>9.0351232382490966E-3</v>
      </c>
      <c r="F68" s="4">
        <f t="shared" ref="F68" si="423">0.2*F64+0.8*F69</f>
        <v>1.992743492694446E-2</v>
      </c>
      <c r="G68" s="4">
        <f t="shared" ref="G68" si="424">0.2*G64+0.8*G69</f>
        <v>1.0630332703032642E-2</v>
      </c>
      <c r="H68" s="4">
        <f t="shared" ref="H68" si="425">0.2*H64+0.8*H69</f>
        <v>2.3714285714285702E-2</v>
      </c>
      <c r="I68" s="4">
        <f t="shared" ref="I68" si="426">0.2*I64+0.8*I69</f>
        <v>1.199617250132683E-2</v>
      </c>
      <c r="J68" s="4">
        <f t="shared" ref="J68" si="427">0.2*J64+0.8*J69</f>
        <v>1.919255892085717E-2</v>
      </c>
      <c r="K68" s="4">
        <f t="shared" ref="K68" si="428">0.2*K64+0.8*K69</f>
        <v>2.1087205412285676E-2</v>
      </c>
      <c r="L68" s="4">
        <f t="shared" ref="L68" si="429">0.2*L64+0.8*L69</f>
        <v>3.0730172045712902E-2</v>
      </c>
      <c r="M68" s="4">
        <f t="shared" ref="M68" si="430">0.2*M64+0.8*M69</f>
        <v>2.0790370227314024E-2</v>
      </c>
      <c r="N68" s="4">
        <f t="shared" ref="N68" si="431">0.2*N64+0.8*N69</f>
        <v>3.0650281089469652E-2</v>
      </c>
      <c r="O68" s="4">
        <f t="shared" ref="O68" si="432">0.2*O64+0.8*O69</f>
        <v>2.5231756495728716E-2</v>
      </c>
      <c r="P68" s="4">
        <f t="shared" ref="P68" si="433">0.2*P64+0.8*P69</f>
        <v>2.3006479754737009E-2</v>
      </c>
      <c r="Q68" s="4">
        <f t="shared" ref="Q68" si="434">0.2*Q64+0.8*Q69</f>
        <v>2.7883961710476732E-2</v>
      </c>
      <c r="R68" s="4">
        <f t="shared" ref="R68" si="435">0.2*R64+0.8*R69</f>
        <v>1.7728672716911545E-2</v>
      </c>
      <c r="S68" s="4">
        <f t="shared" ref="S68" si="436">0.2*S64+0.8*S69</f>
        <v>2.1370100050953883E-2</v>
      </c>
    </row>
    <row r="69" spans="1:19" x14ac:dyDescent="0.25">
      <c r="A69">
        <v>2090</v>
      </c>
      <c r="B69" s="4">
        <v>1.4433545314352918E-2</v>
      </c>
      <c r="C69" s="4">
        <v>1.5645393666086672E-2</v>
      </c>
      <c r="D69" s="4">
        <v>2.2381452544321546E-2</v>
      </c>
      <c r="E69" s="4">
        <v>8.9806947850066318E-3</v>
      </c>
      <c r="F69" s="4">
        <v>1.9807390138227927E-2</v>
      </c>
      <c r="G69" s="4">
        <v>1.0566294554219192E-2</v>
      </c>
      <c r="H69" s="4">
        <v>2.3571428571428556E-2</v>
      </c>
      <c r="I69" s="4">
        <v>1.1923906401921246E-2</v>
      </c>
      <c r="J69" s="4">
        <v>1.9076941096032727E-2</v>
      </c>
      <c r="K69" s="4">
        <v>2.0960174054380339E-2</v>
      </c>
      <c r="L69" s="4">
        <v>3.0545050527365232E-2</v>
      </c>
      <c r="M69" s="4">
        <v>2.0665127033173577E-2</v>
      </c>
      <c r="N69" s="4">
        <v>3.0465640841942723E-2</v>
      </c>
      <c r="O69" s="4">
        <v>2.5079757962621914E-2</v>
      </c>
      <c r="P69" s="4">
        <v>2.2867886503202449E-2</v>
      </c>
      <c r="Q69" s="4">
        <v>2.7715986037522053E-2</v>
      </c>
      <c r="R69" s="4">
        <v>1.7621873483677136E-2</v>
      </c>
      <c r="S69" s="4">
        <v>2.1241364508478255E-2</v>
      </c>
    </row>
    <row r="70" spans="1:19" x14ac:dyDescent="0.25">
      <c r="A70">
        <v>2091</v>
      </c>
      <c r="B70" s="4">
        <f>0.8*B69+0.2*B74</f>
        <v>1.4346069282144719E-2</v>
      </c>
      <c r="C70" s="4">
        <f t="shared" ref="C70" si="437">0.8*C69+0.2*C74</f>
        <v>1.556723419198398E-2</v>
      </c>
      <c r="D70" s="4">
        <f t="shared" ref="D70" si="438">0.8*D69+0.2*D74</f>
        <v>2.2245807377386264E-2</v>
      </c>
      <c r="E70" s="4">
        <f t="shared" ref="E70" si="439">0.8*E69+0.2*E74</f>
        <v>8.9262663317641669E-3</v>
      </c>
      <c r="F70" s="4">
        <f t="shared" ref="F70" si="440">0.8*F69+0.2*F74</f>
        <v>1.9687345349511394E-2</v>
      </c>
      <c r="G70" s="4">
        <f t="shared" ref="G70" si="441">0.8*G69+0.2*G74</f>
        <v>1.0502256405405743E-2</v>
      </c>
      <c r="H70" s="4">
        <f t="shared" ref="H70" si="442">0.8*H69+0.2*H74</f>
        <v>2.3428571428571417E-2</v>
      </c>
      <c r="I70" s="4">
        <f t="shared" ref="I70" si="443">0.8*I69+0.2*I74</f>
        <v>1.1851640302515664E-2</v>
      </c>
      <c r="J70" s="4">
        <f t="shared" ref="J70" si="444">0.8*J69+0.2*J74</f>
        <v>1.8961323271208287E-2</v>
      </c>
      <c r="K70" s="4">
        <f t="shared" ref="K70" si="445">0.8*K69+0.2*K74</f>
        <v>2.0833142696475002E-2</v>
      </c>
      <c r="L70" s="4">
        <f t="shared" ref="L70" si="446">0.8*L69+0.2*L74</f>
        <v>3.0359929009017565E-2</v>
      </c>
      <c r="M70" s="4">
        <f t="shared" ref="M70" si="447">0.8*M69+0.2*M74</f>
        <v>2.0539883839033133E-2</v>
      </c>
      <c r="N70" s="4">
        <f t="shared" ref="N70" si="448">0.8*N69+0.2*N74</f>
        <v>3.02810005944158E-2</v>
      </c>
      <c r="O70" s="4">
        <f t="shared" ref="O70" si="449">0.8*O69+0.2*O74</f>
        <v>2.4927759429515115E-2</v>
      </c>
      <c r="P70" s="4">
        <f t="shared" ref="P70" si="450">0.8*P69+0.2*P74</f>
        <v>2.2729293251667889E-2</v>
      </c>
      <c r="Q70" s="4">
        <f t="shared" ref="Q70" si="451">0.8*Q69+0.2*Q74</f>
        <v>2.7548010364567374E-2</v>
      </c>
      <c r="R70" s="4">
        <f t="shared" ref="R70" si="452">0.8*R69+0.2*R74</f>
        <v>1.7515074250442731E-2</v>
      </c>
      <c r="S70" s="4">
        <f t="shared" ref="S70" si="453">0.8*S69+0.2*S74</f>
        <v>2.111262896600263E-2</v>
      </c>
    </row>
    <row r="71" spans="1:19" x14ac:dyDescent="0.25">
      <c r="A71">
        <v>2092</v>
      </c>
      <c r="B71" s="4">
        <f>0.6*B69+0.4*B74</f>
        <v>1.4258593249936518E-2</v>
      </c>
      <c r="C71" s="4">
        <f t="shared" ref="C71:S71" si="454">0.6*C69+0.4*C74</f>
        <v>1.5489074717881288E-2</v>
      </c>
      <c r="D71" s="4">
        <f t="shared" si="454"/>
        <v>2.2110162210450979E-2</v>
      </c>
      <c r="E71" s="4">
        <f t="shared" si="454"/>
        <v>8.8718378785217038E-3</v>
      </c>
      <c r="F71" s="4">
        <f t="shared" si="454"/>
        <v>1.9567300560794861E-2</v>
      </c>
      <c r="G71" s="4">
        <f t="shared" si="454"/>
        <v>1.0438218256592292E-2</v>
      </c>
      <c r="H71" s="4">
        <f t="shared" si="454"/>
        <v>2.3285714285714271E-2</v>
      </c>
      <c r="I71" s="4">
        <f t="shared" si="454"/>
        <v>1.177937420311008E-2</v>
      </c>
      <c r="J71" s="4">
        <f t="shared" si="454"/>
        <v>1.8845705446383844E-2</v>
      </c>
      <c r="K71" s="4">
        <f t="shared" si="454"/>
        <v>2.0706111338569668E-2</v>
      </c>
      <c r="L71" s="4">
        <f t="shared" si="454"/>
        <v>3.0174807490669895E-2</v>
      </c>
      <c r="M71" s="4">
        <f t="shared" si="454"/>
        <v>2.0414640644892686E-2</v>
      </c>
      <c r="N71" s="4">
        <f t="shared" si="454"/>
        <v>3.0096360346888874E-2</v>
      </c>
      <c r="O71" s="4">
        <f t="shared" si="454"/>
        <v>2.4775760896408316E-2</v>
      </c>
      <c r="P71" s="4">
        <f t="shared" si="454"/>
        <v>2.2590700000133329E-2</v>
      </c>
      <c r="Q71" s="4">
        <f t="shared" si="454"/>
        <v>2.7380034691612695E-2</v>
      </c>
      <c r="R71" s="4">
        <f t="shared" si="454"/>
        <v>1.7408275017208322E-2</v>
      </c>
      <c r="S71" s="4">
        <f t="shared" si="454"/>
        <v>2.0983893423527002E-2</v>
      </c>
    </row>
    <row r="72" spans="1:19" x14ac:dyDescent="0.25">
      <c r="A72">
        <v>2093</v>
      </c>
      <c r="B72" s="4">
        <f>0.4*B69+0.6*B74</f>
        <v>1.4171117217728318E-2</v>
      </c>
      <c r="C72" s="4">
        <f t="shared" ref="C72:S72" si="455">0.4*C69+0.6*C74</f>
        <v>1.5410915243778595E-2</v>
      </c>
      <c r="D72" s="4">
        <f t="shared" si="455"/>
        <v>2.1974517043515697E-2</v>
      </c>
      <c r="E72" s="4">
        <f t="shared" si="455"/>
        <v>8.8174094252792372E-3</v>
      </c>
      <c r="F72" s="4">
        <f t="shared" si="455"/>
        <v>1.9447255772078328E-2</v>
      </c>
      <c r="G72" s="4">
        <f t="shared" si="455"/>
        <v>1.0374180107778842E-2</v>
      </c>
      <c r="H72" s="4">
        <f t="shared" si="455"/>
        <v>2.3142857142857125E-2</v>
      </c>
      <c r="I72" s="4">
        <f t="shared" si="455"/>
        <v>1.1707108103704497E-2</v>
      </c>
      <c r="J72" s="4">
        <f t="shared" si="455"/>
        <v>1.8730087621559404E-2</v>
      </c>
      <c r="K72" s="4">
        <f t="shared" si="455"/>
        <v>2.0579079980664331E-2</v>
      </c>
      <c r="L72" s="4">
        <f t="shared" si="455"/>
        <v>2.9989685972322228E-2</v>
      </c>
      <c r="M72" s="4">
        <f t="shared" si="455"/>
        <v>2.0289397450752242E-2</v>
      </c>
      <c r="N72" s="4">
        <f t="shared" si="455"/>
        <v>2.9911720099361945E-2</v>
      </c>
      <c r="O72" s="4">
        <f t="shared" si="455"/>
        <v>2.4623762363301514E-2</v>
      </c>
      <c r="P72" s="4">
        <f t="shared" si="455"/>
        <v>2.2452106748598769E-2</v>
      </c>
      <c r="Q72" s="4">
        <f t="shared" si="455"/>
        <v>2.7212059018658016E-2</v>
      </c>
      <c r="R72" s="4">
        <f t="shared" si="455"/>
        <v>1.7301475783973914E-2</v>
      </c>
      <c r="S72" s="4">
        <f t="shared" si="455"/>
        <v>2.0855157881051377E-2</v>
      </c>
    </row>
    <row r="73" spans="1:19" x14ac:dyDescent="0.25">
      <c r="A73">
        <v>2094</v>
      </c>
      <c r="B73" s="4">
        <f>0.2*B69+0.8*B74</f>
        <v>1.4083641185520119E-2</v>
      </c>
      <c r="C73" s="4">
        <f t="shared" ref="C73" si="456">0.2*C69+0.8*C74</f>
        <v>1.5332755769675903E-2</v>
      </c>
      <c r="D73" s="4">
        <f t="shared" ref="D73" si="457">0.2*D69+0.8*D74</f>
        <v>2.1838871876580415E-2</v>
      </c>
      <c r="E73" s="4">
        <f t="shared" ref="E73" si="458">0.2*E69+0.8*E74</f>
        <v>8.7629809720367741E-3</v>
      </c>
      <c r="F73" s="4">
        <f t="shared" ref="F73" si="459">0.2*F69+0.8*F74</f>
        <v>1.9327210983361796E-2</v>
      </c>
      <c r="G73" s="4">
        <f t="shared" ref="G73" si="460">0.2*G69+0.8*G74</f>
        <v>1.0310141958965395E-2</v>
      </c>
      <c r="H73" s="4">
        <f t="shared" ref="H73" si="461">0.2*H69+0.8*H74</f>
        <v>2.2999999999999986E-2</v>
      </c>
      <c r="I73" s="4">
        <f t="shared" ref="I73" si="462">0.2*I69+0.8*I74</f>
        <v>1.1634842004298913E-2</v>
      </c>
      <c r="J73" s="4">
        <f t="shared" ref="J73" si="463">0.2*J69+0.8*J74</f>
        <v>1.8614469796734964E-2</v>
      </c>
      <c r="K73" s="4">
        <f t="shared" ref="K73" si="464">0.2*K69+0.8*K74</f>
        <v>2.0452048622758998E-2</v>
      </c>
      <c r="L73" s="4">
        <f t="shared" ref="L73" si="465">0.2*L69+0.8*L74</f>
        <v>2.9804564453974558E-2</v>
      </c>
      <c r="M73" s="4">
        <f t="shared" ref="M73" si="466">0.2*M69+0.8*M74</f>
        <v>2.0164154256611791E-2</v>
      </c>
      <c r="N73" s="4">
        <f t="shared" ref="N73" si="467">0.2*N69+0.8*N74</f>
        <v>2.9727079851835023E-2</v>
      </c>
      <c r="O73" s="4">
        <f t="shared" ref="O73" si="468">0.2*O69+0.8*O74</f>
        <v>2.4471763830194719E-2</v>
      </c>
      <c r="P73" s="4">
        <f t="shared" ref="P73" si="469">0.2*P69+0.8*P74</f>
        <v>2.2313513497064209E-2</v>
      </c>
      <c r="Q73" s="4">
        <f t="shared" ref="Q73" si="470">0.2*Q69+0.8*Q74</f>
        <v>2.7044083345703337E-2</v>
      </c>
      <c r="R73" s="4">
        <f t="shared" ref="R73" si="471">0.2*R69+0.8*R74</f>
        <v>1.7194676550739509E-2</v>
      </c>
      <c r="S73" s="4">
        <f t="shared" ref="S73" si="472">0.2*S69+0.8*S74</f>
        <v>2.0726422338575752E-2</v>
      </c>
    </row>
    <row r="74" spans="1:19" x14ac:dyDescent="0.25">
      <c r="A74">
        <v>2095</v>
      </c>
      <c r="B74" s="4">
        <v>1.399616515331192E-2</v>
      </c>
      <c r="C74" s="4">
        <v>1.525459629557321E-2</v>
      </c>
      <c r="D74" s="4">
        <v>2.1703226709645133E-2</v>
      </c>
      <c r="E74" s="4">
        <v>8.7085525187943092E-3</v>
      </c>
      <c r="F74" s="4">
        <v>1.9207166194645263E-2</v>
      </c>
      <c r="G74" s="4">
        <v>1.0246103810151943E-2</v>
      </c>
      <c r="H74" s="4">
        <v>2.285714285714284E-2</v>
      </c>
      <c r="I74" s="4">
        <v>1.1562575904893329E-2</v>
      </c>
      <c r="J74" s="4">
        <v>1.8498851971910521E-2</v>
      </c>
      <c r="K74" s="4">
        <v>2.0325017264853661E-2</v>
      </c>
      <c r="L74" s="4">
        <v>2.9619442935626891E-2</v>
      </c>
      <c r="M74" s="4">
        <v>2.0038911062471347E-2</v>
      </c>
      <c r="N74" s="4">
        <v>2.9542439604308093E-2</v>
      </c>
      <c r="O74" s="4">
        <v>2.4319765297087917E-2</v>
      </c>
      <c r="P74" s="4">
        <v>2.2174920245529649E-2</v>
      </c>
      <c r="Q74" s="4">
        <v>2.6876107672748659E-2</v>
      </c>
      <c r="R74" s="4">
        <v>1.70878773175051E-2</v>
      </c>
      <c r="S74" s="4">
        <v>2.0597686796100127E-2</v>
      </c>
    </row>
    <row r="75" spans="1:19" x14ac:dyDescent="0.25">
      <c r="A75">
        <v>2096</v>
      </c>
      <c r="B75" s="4">
        <f>0.8*B74+0.2*B79</f>
        <v>1.3908689121103721E-2</v>
      </c>
      <c r="C75" s="4">
        <f t="shared" ref="C75" si="473">0.8*C74+0.2*C79</f>
        <v>1.5159255068725877E-2</v>
      </c>
      <c r="D75" s="4">
        <f t="shared" ref="D75" si="474">0.8*D74+0.2*D79</f>
        <v>2.1567581542709852E-2</v>
      </c>
      <c r="E75" s="4">
        <f t="shared" ref="E75" si="475">0.8*E74+0.2*E79</f>
        <v>8.6541240655518444E-3</v>
      </c>
      <c r="F75" s="4">
        <f t="shared" ref="F75" si="476">0.8*F74+0.2*F79</f>
        <v>1.908712140592873E-2</v>
      </c>
      <c r="G75" s="4">
        <f t="shared" ref="G75" si="477">0.8*G74+0.2*G79</f>
        <v>1.0182065661338495E-2</v>
      </c>
      <c r="H75" s="4">
        <f t="shared" ref="H75" si="478">0.8*H74+0.2*H79</f>
        <v>2.2714285714285697E-2</v>
      </c>
      <c r="I75" s="4">
        <f t="shared" ref="I75" si="479">0.8*I74+0.2*I79</f>
        <v>1.1490309805487747E-2</v>
      </c>
      <c r="J75" s="4">
        <f t="shared" ref="J75" si="480">0.8*J74+0.2*J79</f>
        <v>1.8383234147086081E-2</v>
      </c>
      <c r="K75" s="4">
        <f t="shared" ref="K75" si="481">0.8*K74+0.2*K79</f>
        <v>2.0197985906948327E-2</v>
      </c>
      <c r="L75" s="4">
        <f t="shared" ref="L75" si="482">0.8*L74+0.2*L79</f>
        <v>2.9434321417279224E-2</v>
      </c>
      <c r="M75" s="4">
        <f t="shared" ref="M75" si="483">0.8*M74+0.2*M79</f>
        <v>1.99136678683309E-2</v>
      </c>
      <c r="N75" s="4">
        <f t="shared" ref="N75" si="484">0.8*N74+0.2*N79</f>
        <v>2.9357799356781171E-2</v>
      </c>
      <c r="O75" s="4">
        <f t="shared" ref="O75" si="485">0.8*O74+0.2*O79</f>
        <v>2.4167766763981118E-2</v>
      </c>
      <c r="P75" s="4">
        <f t="shared" ref="P75" si="486">0.8*P74+0.2*P79</f>
        <v>2.203632699399509E-2</v>
      </c>
      <c r="Q75" s="4">
        <f t="shared" ref="Q75" si="487">0.8*Q74+0.2*Q79</f>
        <v>2.670813199979398E-2</v>
      </c>
      <c r="R75" s="4">
        <f t="shared" ref="R75" si="488">0.8*R74+0.2*R79</f>
        <v>1.6981078084270691E-2</v>
      </c>
      <c r="S75" s="4">
        <f t="shared" ref="S75" si="489">0.8*S74+0.2*S79</f>
        <v>2.0468951253624502E-2</v>
      </c>
    </row>
    <row r="76" spans="1:19" x14ac:dyDescent="0.25">
      <c r="A76">
        <v>2097</v>
      </c>
      <c r="B76" s="4">
        <f>0.6*B74+0.4*B79</f>
        <v>1.3821213088895522E-2</v>
      </c>
      <c r="C76" s="4">
        <f t="shared" ref="C76:S76" si="490">0.6*C74+0.4*C79</f>
        <v>1.5063913841878544E-2</v>
      </c>
      <c r="D76" s="4">
        <f t="shared" si="490"/>
        <v>2.143193637577457E-2</v>
      </c>
      <c r="E76" s="4">
        <f t="shared" si="490"/>
        <v>8.5996956123093812E-3</v>
      </c>
      <c r="F76" s="4">
        <f t="shared" si="490"/>
        <v>1.8967076617212197E-2</v>
      </c>
      <c r="G76" s="4">
        <f t="shared" si="490"/>
        <v>1.0118027512525043E-2</v>
      </c>
      <c r="H76" s="4">
        <f t="shared" si="490"/>
        <v>2.2571428571428555E-2</v>
      </c>
      <c r="I76" s="4">
        <f t="shared" si="490"/>
        <v>1.1418043706082162E-2</v>
      </c>
      <c r="J76" s="4">
        <f t="shared" si="490"/>
        <v>1.8267616322261641E-2</v>
      </c>
      <c r="K76" s="4">
        <f t="shared" si="490"/>
        <v>2.007095454904299E-2</v>
      </c>
      <c r="L76" s="4">
        <f t="shared" si="490"/>
        <v>2.9249199898931558E-2</v>
      </c>
      <c r="M76" s="4">
        <f t="shared" si="490"/>
        <v>1.9788424674190456E-2</v>
      </c>
      <c r="N76" s="4">
        <f t="shared" si="490"/>
        <v>2.9173159109254242E-2</v>
      </c>
      <c r="O76" s="4">
        <f t="shared" si="490"/>
        <v>2.4015768230874319E-2</v>
      </c>
      <c r="P76" s="4">
        <f t="shared" si="490"/>
        <v>2.189773374246053E-2</v>
      </c>
      <c r="Q76" s="4">
        <f t="shared" si="490"/>
        <v>2.6540156326839301E-2</v>
      </c>
      <c r="R76" s="4">
        <f t="shared" si="490"/>
        <v>1.6874278851036283E-2</v>
      </c>
      <c r="S76" s="4">
        <f t="shared" si="490"/>
        <v>2.0340215711148878E-2</v>
      </c>
    </row>
    <row r="77" spans="1:19" x14ac:dyDescent="0.25">
      <c r="A77">
        <v>2098</v>
      </c>
      <c r="B77" s="4">
        <f>0.4*B74+0.6*B79</f>
        <v>1.3733737056687321E-2</v>
      </c>
      <c r="C77" s="4">
        <f t="shared" ref="C77:S77" si="491">0.4*C74+0.6*C79</f>
        <v>1.4968572615031211E-2</v>
      </c>
      <c r="D77" s="4">
        <f t="shared" si="491"/>
        <v>2.1296291208839285E-2</v>
      </c>
      <c r="E77" s="4">
        <f t="shared" si="491"/>
        <v>8.5452671590669146E-3</v>
      </c>
      <c r="F77" s="4">
        <f t="shared" si="491"/>
        <v>1.8847031828495665E-2</v>
      </c>
      <c r="G77" s="4">
        <f t="shared" si="491"/>
        <v>1.0053989363711595E-2</v>
      </c>
      <c r="H77" s="4">
        <f t="shared" si="491"/>
        <v>2.2428571428571409E-2</v>
      </c>
      <c r="I77" s="4">
        <f t="shared" si="491"/>
        <v>1.1345777606676578E-2</v>
      </c>
      <c r="J77" s="4">
        <f t="shared" si="491"/>
        <v>1.8151998497437198E-2</v>
      </c>
      <c r="K77" s="4">
        <f t="shared" si="491"/>
        <v>1.9943923191137653E-2</v>
      </c>
      <c r="L77" s="4">
        <f t="shared" si="491"/>
        <v>2.9064078380583887E-2</v>
      </c>
      <c r="M77" s="4">
        <f t="shared" si="491"/>
        <v>1.9663181480050008E-2</v>
      </c>
      <c r="N77" s="4">
        <f t="shared" si="491"/>
        <v>2.8988518861727319E-2</v>
      </c>
      <c r="O77" s="4">
        <f t="shared" si="491"/>
        <v>2.3863769697767517E-2</v>
      </c>
      <c r="P77" s="4">
        <f t="shared" si="491"/>
        <v>2.175914049092597E-2</v>
      </c>
      <c r="Q77" s="4">
        <f t="shared" si="491"/>
        <v>2.6372180653884622E-2</v>
      </c>
      <c r="R77" s="4">
        <f t="shared" si="491"/>
        <v>1.6767479617801877E-2</v>
      </c>
      <c r="S77" s="4">
        <f t="shared" si="491"/>
        <v>2.0211480168673253E-2</v>
      </c>
    </row>
    <row r="78" spans="1:19" x14ac:dyDescent="0.25">
      <c r="A78">
        <v>2099</v>
      </c>
      <c r="B78" s="4">
        <f>0.2*B74+0.8*B79</f>
        <v>1.3646261024479123E-2</v>
      </c>
      <c r="C78" s="4">
        <f t="shared" ref="C78" si="492">0.2*C74+0.8*C79</f>
        <v>1.487323138818388E-2</v>
      </c>
      <c r="D78" s="4">
        <f t="shared" ref="D78" si="493">0.2*D74+0.8*D79</f>
        <v>2.1160646041904006E-2</v>
      </c>
      <c r="E78" s="4">
        <f t="shared" ref="E78" si="494">0.2*E74+0.8*E79</f>
        <v>8.4908387058244515E-3</v>
      </c>
      <c r="F78" s="4">
        <f t="shared" ref="F78" si="495">0.2*F74+0.8*F79</f>
        <v>1.8726987039779132E-2</v>
      </c>
      <c r="G78" s="4">
        <f t="shared" ref="G78" si="496">0.2*G74+0.8*G79</f>
        <v>9.9899512148981448E-3</v>
      </c>
      <c r="H78" s="4">
        <f t="shared" ref="H78" si="497">0.2*H74+0.8*H79</f>
        <v>2.228571428571427E-2</v>
      </c>
      <c r="I78" s="4">
        <f t="shared" ref="I78" si="498">0.2*I74+0.8*I79</f>
        <v>1.1273511507270996E-2</v>
      </c>
      <c r="J78" s="4">
        <f t="shared" ref="J78" si="499">0.2*J74+0.8*J79</f>
        <v>1.8036380672612758E-2</v>
      </c>
      <c r="K78" s="4">
        <f t="shared" ref="K78" si="500">0.2*K74+0.8*K79</f>
        <v>1.981689183323232E-2</v>
      </c>
      <c r="L78" s="4">
        <f t="shared" ref="L78" si="501">0.2*L74+0.8*L79</f>
        <v>2.8878956862236221E-2</v>
      </c>
      <c r="M78" s="4">
        <f t="shared" ref="M78" si="502">0.2*M74+0.8*M79</f>
        <v>1.9537938285909565E-2</v>
      </c>
      <c r="N78" s="4">
        <f t="shared" ref="N78" si="503">0.2*N74+0.8*N79</f>
        <v>2.8803878614200393E-2</v>
      </c>
      <c r="O78" s="4">
        <f t="shared" ref="O78" si="504">0.2*O74+0.8*O79</f>
        <v>2.3711771164660719E-2</v>
      </c>
      <c r="P78" s="4">
        <f t="shared" ref="P78" si="505">0.2*P74+0.8*P79</f>
        <v>2.162054723939141E-2</v>
      </c>
      <c r="Q78" s="4">
        <f t="shared" ref="Q78" si="506">0.2*Q74+0.8*Q79</f>
        <v>2.6204204980929943E-2</v>
      </c>
      <c r="R78" s="4">
        <f t="shared" ref="R78" si="507">0.2*R74+0.8*R79</f>
        <v>1.6660680384567472E-2</v>
      </c>
      <c r="S78" s="4">
        <f t="shared" ref="S78" si="508">0.2*S74+0.8*S79</f>
        <v>2.0082744626197625E-2</v>
      </c>
    </row>
    <row r="79" spans="1:19" x14ac:dyDescent="0.25">
      <c r="A79">
        <v>2100</v>
      </c>
      <c r="B79" s="4">
        <v>1.3558784992270922E-2</v>
      </c>
      <c r="C79" s="4">
        <v>1.4777890161336547E-2</v>
      </c>
      <c r="D79" s="4">
        <v>2.1025000874968721E-2</v>
      </c>
      <c r="E79" s="4">
        <v>8.4364102525819867E-3</v>
      </c>
      <c r="F79" s="4">
        <v>1.8606942251062599E-2</v>
      </c>
      <c r="G79" s="4">
        <v>9.9259130660846948E-3</v>
      </c>
      <c r="H79" s="4">
        <v>2.2142857142857124E-2</v>
      </c>
      <c r="I79" s="4">
        <v>1.1201245407865412E-2</v>
      </c>
      <c r="J79" s="4">
        <v>1.7920762847788315E-2</v>
      </c>
      <c r="K79" s="4">
        <v>1.9689860475326983E-2</v>
      </c>
      <c r="L79" s="4">
        <v>2.869383534388855E-2</v>
      </c>
      <c r="M79" s="4">
        <v>1.9412695091769117E-2</v>
      </c>
      <c r="N79" s="4">
        <v>2.8619238366673464E-2</v>
      </c>
      <c r="O79" s="4">
        <v>2.355977263155392E-2</v>
      </c>
      <c r="P79" s="4">
        <v>2.148195398785685E-2</v>
      </c>
      <c r="Q79" s="4">
        <v>2.6036229307975264E-2</v>
      </c>
      <c r="R79" s="4">
        <v>1.6553881151333064E-2</v>
      </c>
      <c r="S79" s="4">
        <v>1.9954009083722E-2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5F6BA-902F-4B20-BCC8-F44B01010D69}">
  <dimension ref="A1:S84"/>
  <sheetViews>
    <sheetView workbookViewId="0">
      <selection activeCell="B1" sqref="B1:S1048576"/>
    </sheetView>
  </sheetViews>
  <sheetFormatPr defaultRowHeight="15" x14ac:dyDescent="0.25"/>
  <cols>
    <col min="2" max="19" width="9.140625" style="3"/>
  </cols>
  <sheetData>
    <row r="1" spans="1:19" x14ac:dyDescent="0.25">
      <c r="A1" t="s">
        <v>25</v>
      </c>
      <c r="B1" s="3" t="s">
        <v>11</v>
      </c>
      <c r="C1" s="3" t="s">
        <v>1</v>
      </c>
      <c r="D1" s="3" t="s">
        <v>9</v>
      </c>
      <c r="E1" s="3" t="s">
        <v>10</v>
      </c>
      <c r="F1" s="3" t="s">
        <v>3</v>
      </c>
      <c r="G1" s="3" t="s">
        <v>16</v>
      </c>
      <c r="H1" s="3" t="s">
        <v>2</v>
      </c>
      <c r="I1" s="3" t="s">
        <v>7</v>
      </c>
      <c r="J1" s="3" t="s">
        <v>0</v>
      </c>
      <c r="K1" s="3" t="s">
        <v>14</v>
      </c>
      <c r="L1" s="3" t="s">
        <v>5</v>
      </c>
      <c r="M1" s="3" t="s">
        <v>6</v>
      </c>
      <c r="N1" s="3" t="s">
        <v>8</v>
      </c>
      <c r="O1" s="3" t="s">
        <v>15</v>
      </c>
      <c r="P1" s="3" t="s">
        <v>4</v>
      </c>
      <c r="Q1" s="3" t="s">
        <v>13</v>
      </c>
      <c r="R1" s="3" t="s">
        <v>12</v>
      </c>
      <c r="S1" s="3" t="s">
        <v>17</v>
      </c>
    </row>
    <row r="2" spans="1:19" x14ac:dyDescent="0.25">
      <c r="A2">
        <v>2023</v>
      </c>
      <c r="B2" s="3">
        <v>210.70400000000001</v>
      </c>
      <c r="C2" s="3">
        <v>39.178000000000004</v>
      </c>
      <c r="D2" s="3">
        <v>1428.25</v>
      </c>
      <c r="E2" s="3">
        <v>1432.8520000000001</v>
      </c>
      <c r="F2" s="3">
        <v>124.68600000000001</v>
      </c>
      <c r="G2" s="3">
        <v>51.751999999999995</v>
      </c>
      <c r="H2" s="3">
        <v>129.38999999999999</v>
      </c>
      <c r="I2" s="3">
        <v>145.28399999999999</v>
      </c>
      <c r="J2" s="3">
        <v>343.47800000000001</v>
      </c>
      <c r="K2" s="3">
        <v>316.60400000000004</v>
      </c>
      <c r="L2" s="3">
        <v>532.98400000000004</v>
      </c>
      <c r="M2" s="3">
        <v>252.68799999999999</v>
      </c>
      <c r="N2" s="3">
        <v>250.09800000000001</v>
      </c>
      <c r="O2" s="3">
        <v>721.78200000000004</v>
      </c>
      <c r="P2" s="3">
        <v>45.346000000000004</v>
      </c>
      <c r="Q2" s="3">
        <v>286.39999999999998</v>
      </c>
      <c r="R2" s="3">
        <v>1465.134</v>
      </c>
      <c r="S2" s="3">
        <v>280.27199999999999</v>
      </c>
    </row>
    <row r="3" spans="1:19" x14ac:dyDescent="0.25">
      <c r="A3">
        <v>2024</v>
      </c>
      <c r="B3" s="3">
        <f>AVERAGE(B2, B4)</f>
        <v>211.56200000000001</v>
      </c>
      <c r="C3" s="3">
        <f t="shared" ref="C3:S3" si="0">AVERAGE(C2, C4)</f>
        <v>39.564000000000007</v>
      </c>
      <c r="D3" s="3">
        <f t="shared" si="0"/>
        <v>1426.69</v>
      </c>
      <c r="E3" s="3">
        <f t="shared" si="0"/>
        <v>1445.1460000000002</v>
      </c>
      <c r="F3" s="3">
        <f t="shared" si="0"/>
        <v>124.05800000000001</v>
      </c>
      <c r="G3" s="3">
        <f t="shared" si="0"/>
        <v>51.725999999999999</v>
      </c>
      <c r="H3" s="3">
        <f t="shared" si="0"/>
        <v>130.39999999999998</v>
      </c>
      <c r="I3" s="3">
        <f t="shared" si="0"/>
        <v>144.86199999999999</v>
      </c>
      <c r="J3" s="3">
        <f t="shared" si="0"/>
        <v>344.92399999999998</v>
      </c>
      <c r="K3" s="3">
        <f t="shared" si="0"/>
        <v>318.952</v>
      </c>
      <c r="L3" s="3">
        <f t="shared" si="0"/>
        <v>533.90200000000004</v>
      </c>
      <c r="M3" s="3">
        <f t="shared" si="0"/>
        <v>253.04399999999998</v>
      </c>
      <c r="N3" s="3">
        <f t="shared" si="0"/>
        <v>251.42400000000001</v>
      </c>
      <c r="O3" s="3">
        <f t="shared" si="0"/>
        <v>730.57600000000002</v>
      </c>
      <c r="P3" s="3">
        <f t="shared" si="0"/>
        <v>45.847999999999999</v>
      </c>
      <c r="Q3" s="3">
        <f t="shared" si="0"/>
        <v>292.13</v>
      </c>
      <c r="R3" s="3">
        <f t="shared" si="0"/>
        <v>1498.752</v>
      </c>
      <c r="S3" s="3">
        <f t="shared" si="0"/>
        <v>282.44600000000003</v>
      </c>
    </row>
    <row r="4" spans="1:19" x14ac:dyDescent="0.25">
      <c r="A4">
        <v>2025</v>
      </c>
      <c r="B4" s="3">
        <v>212.42</v>
      </c>
      <c r="C4" s="3">
        <v>39.950000000000003</v>
      </c>
      <c r="D4" s="3">
        <v>1425.13</v>
      </c>
      <c r="E4" s="3">
        <v>1457.44</v>
      </c>
      <c r="F4" s="3">
        <v>123.43</v>
      </c>
      <c r="G4" s="3">
        <v>51.7</v>
      </c>
      <c r="H4" s="3">
        <v>131.41</v>
      </c>
      <c r="I4" s="3">
        <v>144.44</v>
      </c>
      <c r="J4" s="3">
        <v>346.37</v>
      </c>
      <c r="K4" s="3">
        <v>321.3</v>
      </c>
      <c r="L4" s="3">
        <v>534.82000000000005</v>
      </c>
      <c r="M4" s="3">
        <v>253.4</v>
      </c>
      <c r="N4" s="3">
        <v>252.75</v>
      </c>
      <c r="O4" s="3">
        <v>739.37</v>
      </c>
      <c r="P4" s="3">
        <v>46.35</v>
      </c>
      <c r="Q4" s="3">
        <v>297.86</v>
      </c>
      <c r="R4" s="3">
        <v>1532.37</v>
      </c>
      <c r="S4" s="3">
        <v>284.62</v>
      </c>
    </row>
    <row r="5" spans="1:19" x14ac:dyDescent="0.25">
      <c r="A5">
        <v>2026</v>
      </c>
      <c r="B5" s="3">
        <f>0.8*B4+0.2*B9</f>
        <v>213.09800000000001</v>
      </c>
      <c r="C5" s="3">
        <f t="shared" ref="C5:S5" si="1">0.8*C4+0.2*C9</f>
        <v>40.264000000000003</v>
      </c>
      <c r="D5" s="3">
        <f t="shared" si="1"/>
        <v>1421.614</v>
      </c>
      <c r="E5" s="3">
        <f t="shared" si="1"/>
        <v>1469.8240000000001</v>
      </c>
      <c r="F5" s="3">
        <f t="shared" si="1"/>
        <v>122.73400000000001</v>
      </c>
      <c r="G5" s="3">
        <f t="shared" si="1"/>
        <v>51.612000000000009</v>
      </c>
      <c r="H5" s="3">
        <f t="shared" si="1"/>
        <v>132.416</v>
      </c>
      <c r="I5" s="3">
        <f t="shared" si="1"/>
        <v>143.97</v>
      </c>
      <c r="J5" s="3">
        <f t="shared" si="1"/>
        <v>348.06799999999998</v>
      </c>
      <c r="K5" s="3">
        <f t="shared" si="1"/>
        <v>323.66000000000003</v>
      </c>
      <c r="L5" s="3">
        <f t="shared" si="1"/>
        <v>534.32600000000002</v>
      </c>
      <c r="M5" s="3">
        <f t="shared" si="1"/>
        <v>254.82200000000003</v>
      </c>
      <c r="N5" s="3">
        <f t="shared" si="1"/>
        <v>253.93200000000002</v>
      </c>
      <c r="O5" s="3">
        <f t="shared" si="1"/>
        <v>748.48400000000004</v>
      </c>
      <c r="P5" s="3">
        <f t="shared" si="1"/>
        <v>46.848000000000006</v>
      </c>
      <c r="Q5" s="3">
        <f t="shared" si="1"/>
        <v>302.928</v>
      </c>
      <c r="R5" s="3">
        <f t="shared" si="1"/>
        <v>1567.74</v>
      </c>
      <c r="S5" s="3">
        <f t="shared" si="1"/>
        <v>286.68400000000003</v>
      </c>
    </row>
    <row r="6" spans="1:19" x14ac:dyDescent="0.25">
      <c r="A6">
        <v>2027</v>
      </c>
      <c r="B6" s="3">
        <f>0.6*B4+0.4*B9</f>
        <v>213.77600000000001</v>
      </c>
      <c r="C6" s="3">
        <f t="shared" ref="C6:S6" si="2">0.6*C4+0.4*C9</f>
        <v>40.578000000000003</v>
      </c>
      <c r="D6" s="3">
        <f t="shared" si="2"/>
        <v>1418.098</v>
      </c>
      <c r="E6" s="3">
        <f t="shared" si="2"/>
        <v>1482.2080000000001</v>
      </c>
      <c r="F6" s="3">
        <f t="shared" si="2"/>
        <v>122.03800000000001</v>
      </c>
      <c r="G6" s="3">
        <f t="shared" si="2"/>
        <v>51.524000000000001</v>
      </c>
      <c r="H6" s="3">
        <f t="shared" si="2"/>
        <v>133.422</v>
      </c>
      <c r="I6" s="3">
        <f t="shared" si="2"/>
        <v>143.5</v>
      </c>
      <c r="J6" s="3">
        <f t="shared" si="2"/>
        <v>349.76600000000002</v>
      </c>
      <c r="K6" s="3">
        <f t="shared" si="2"/>
        <v>326.02</v>
      </c>
      <c r="L6" s="3">
        <f t="shared" si="2"/>
        <v>533.83199999999999</v>
      </c>
      <c r="M6" s="3">
        <f t="shared" si="2"/>
        <v>256.24400000000003</v>
      </c>
      <c r="N6" s="3">
        <f t="shared" si="2"/>
        <v>255.11400000000003</v>
      </c>
      <c r="O6" s="3">
        <f t="shared" si="2"/>
        <v>757.59800000000007</v>
      </c>
      <c r="P6" s="3">
        <f t="shared" si="2"/>
        <v>47.346000000000004</v>
      </c>
      <c r="Q6" s="3">
        <f t="shared" si="2"/>
        <v>307.99599999999998</v>
      </c>
      <c r="R6" s="3">
        <f t="shared" si="2"/>
        <v>1603.1100000000001</v>
      </c>
      <c r="S6" s="3">
        <f t="shared" si="2"/>
        <v>288.74799999999999</v>
      </c>
    </row>
    <row r="7" spans="1:19" x14ac:dyDescent="0.25">
      <c r="A7">
        <v>2028</v>
      </c>
      <c r="B7" s="3">
        <f>0.4*B4+0.6*B9</f>
        <v>214.45400000000001</v>
      </c>
      <c r="C7" s="3">
        <f t="shared" ref="C7:S7" si="3">0.4*C4+0.6*C9</f>
        <v>40.892000000000003</v>
      </c>
      <c r="D7" s="3">
        <f t="shared" si="3"/>
        <v>1414.5819999999999</v>
      </c>
      <c r="E7" s="3">
        <f t="shared" si="3"/>
        <v>1494.5919999999999</v>
      </c>
      <c r="F7" s="3">
        <f t="shared" si="3"/>
        <v>121.34200000000001</v>
      </c>
      <c r="G7" s="3">
        <f t="shared" si="3"/>
        <v>51.436</v>
      </c>
      <c r="H7" s="3">
        <f t="shared" si="3"/>
        <v>134.428</v>
      </c>
      <c r="I7" s="3">
        <f t="shared" si="3"/>
        <v>143.03</v>
      </c>
      <c r="J7" s="3">
        <f t="shared" si="3"/>
        <v>351.464</v>
      </c>
      <c r="K7" s="3">
        <f t="shared" si="3"/>
        <v>328.38</v>
      </c>
      <c r="L7" s="3">
        <f t="shared" si="3"/>
        <v>533.33800000000008</v>
      </c>
      <c r="M7" s="3">
        <f t="shared" si="3"/>
        <v>257.666</v>
      </c>
      <c r="N7" s="3">
        <f t="shared" si="3"/>
        <v>256.29599999999999</v>
      </c>
      <c r="O7" s="3">
        <f t="shared" si="3"/>
        <v>766.71199999999999</v>
      </c>
      <c r="P7" s="3">
        <f t="shared" si="3"/>
        <v>47.844000000000008</v>
      </c>
      <c r="Q7" s="3">
        <f t="shared" si="3"/>
        <v>313.06399999999996</v>
      </c>
      <c r="R7" s="3">
        <f t="shared" si="3"/>
        <v>1638.48</v>
      </c>
      <c r="S7" s="3">
        <f t="shared" si="3"/>
        <v>290.81200000000001</v>
      </c>
    </row>
    <row r="8" spans="1:19" x14ac:dyDescent="0.25">
      <c r="A8">
        <v>2029</v>
      </c>
      <c r="B8" s="3">
        <f>0.2*B4+0.8*B9</f>
        <v>215.13200000000003</v>
      </c>
      <c r="C8" s="3">
        <f t="shared" ref="C8:S8" si="4">0.2*C4+0.8*C9</f>
        <v>41.206000000000003</v>
      </c>
      <c r="D8" s="3">
        <f t="shared" si="4"/>
        <v>1411.066</v>
      </c>
      <c r="E8" s="3">
        <f t="shared" si="4"/>
        <v>1506.9760000000001</v>
      </c>
      <c r="F8" s="3">
        <f t="shared" si="4"/>
        <v>120.64600000000002</v>
      </c>
      <c r="G8" s="3">
        <f t="shared" si="4"/>
        <v>51.348000000000006</v>
      </c>
      <c r="H8" s="3">
        <f t="shared" si="4"/>
        <v>135.434</v>
      </c>
      <c r="I8" s="3">
        <f t="shared" si="4"/>
        <v>142.56</v>
      </c>
      <c r="J8" s="3">
        <f t="shared" si="4"/>
        <v>353.16200000000003</v>
      </c>
      <c r="K8" s="3">
        <f t="shared" si="4"/>
        <v>330.74</v>
      </c>
      <c r="L8" s="3">
        <f t="shared" si="4"/>
        <v>532.84400000000005</v>
      </c>
      <c r="M8" s="3">
        <f t="shared" si="4"/>
        <v>259.08800000000002</v>
      </c>
      <c r="N8" s="3">
        <f t="shared" si="4"/>
        <v>257.47800000000001</v>
      </c>
      <c r="O8" s="3">
        <f t="shared" si="4"/>
        <v>775.82600000000014</v>
      </c>
      <c r="P8" s="3">
        <f t="shared" si="4"/>
        <v>48.342000000000006</v>
      </c>
      <c r="Q8" s="3">
        <f t="shared" si="4"/>
        <v>318.13200000000001</v>
      </c>
      <c r="R8" s="3">
        <f t="shared" si="4"/>
        <v>1673.8500000000001</v>
      </c>
      <c r="S8" s="3">
        <f t="shared" si="4"/>
        <v>292.87599999999998</v>
      </c>
    </row>
    <row r="9" spans="1:19" x14ac:dyDescent="0.25">
      <c r="A9">
        <v>2030</v>
      </c>
      <c r="B9" s="3">
        <v>215.81</v>
      </c>
      <c r="C9" s="3">
        <v>41.52</v>
      </c>
      <c r="D9" s="3">
        <v>1407.55</v>
      </c>
      <c r="E9" s="3">
        <v>1519.36</v>
      </c>
      <c r="F9" s="3">
        <v>119.95</v>
      </c>
      <c r="G9" s="3">
        <v>51.26</v>
      </c>
      <c r="H9" s="3">
        <v>136.44</v>
      </c>
      <c r="I9" s="3">
        <v>142.09</v>
      </c>
      <c r="J9" s="3">
        <v>354.86</v>
      </c>
      <c r="K9" s="3">
        <v>333.1</v>
      </c>
      <c r="L9" s="3">
        <v>532.35</v>
      </c>
      <c r="M9" s="3">
        <v>260.51</v>
      </c>
      <c r="N9" s="3">
        <v>258.66000000000003</v>
      </c>
      <c r="O9" s="3">
        <v>784.94</v>
      </c>
      <c r="P9" s="3">
        <v>48.84</v>
      </c>
      <c r="Q9" s="3">
        <v>323.2</v>
      </c>
      <c r="R9" s="3">
        <v>1709.22</v>
      </c>
      <c r="S9" s="3">
        <v>294.94</v>
      </c>
    </row>
    <row r="10" spans="1:19" x14ac:dyDescent="0.25">
      <c r="A10">
        <v>2031</v>
      </c>
      <c r="B10" s="3">
        <f>0.8*B9+0.2*B14</f>
        <v>216.25600000000003</v>
      </c>
      <c r="C10" s="3">
        <f t="shared" ref="C10:S10" si="5">0.8*C9+0.2*C14</f>
        <v>41.776000000000003</v>
      </c>
      <c r="D10" s="3">
        <f t="shared" si="5"/>
        <v>1402.6979999999999</v>
      </c>
      <c r="E10" s="3">
        <f t="shared" si="5"/>
        <v>1530.2440000000001</v>
      </c>
      <c r="F10" s="3">
        <f t="shared" si="5"/>
        <v>119.21000000000001</v>
      </c>
      <c r="G10" s="3">
        <f t="shared" si="5"/>
        <v>51.09</v>
      </c>
      <c r="H10" s="3">
        <f t="shared" si="5"/>
        <v>137.304</v>
      </c>
      <c r="I10" s="3">
        <f t="shared" si="5"/>
        <v>141.69</v>
      </c>
      <c r="J10" s="3">
        <f t="shared" si="5"/>
        <v>356.39800000000002</v>
      </c>
      <c r="K10" s="3">
        <f t="shared" si="5"/>
        <v>335.15800000000002</v>
      </c>
      <c r="L10" s="3">
        <f t="shared" si="5"/>
        <v>531.70600000000002</v>
      </c>
      <c r="M10" s="3">
        <f t="shared" si="5"/>
        <v>261.45000000000005</v>
      </c>
      <c r="N10" s="3">
        <f t="shared" si="5"/>
        <v>259.68600000000004</v>
      </c>
      <c r="O10" s="3">
        <f t="shared" si="5"/>
        <v>794.21000000000015</v>
      </c>
      <c r="P10" s="3">
        <f t="shared" si="5"/>
        <v>49.298000000000002</v>
      </c>
      <c r="Q10" s="3">
        <f t="shared" si="5"/>
        <v>327.74799999999999</v>
      </c>
      <c r="R10" s="3">
        <f t="shared" si="5"/>
        <v>1745.6260000000002</v>
      </c>
      <c r="S10" s="3">
        <f t="shared" si="5"/>
        <v>296.70600000000002</v>
      </c>
    </row>
    <row r="11" spans="1:19" x14ac:dyDescent="0.25">
      <c r="A11">
        <v>2032</v>
      </c>
      <c r="B11" s="3">
        <f>0.6*B9+0.4*B14</f>
        <v>216.702</v>
      </c>
      <c r="C11" s="3">
        <f t="shared" ref="C11:S11" si="6">0.6*C9+0.4*C14</f>
        <v>42.032000000000004</v>
      </c>
      <c r="D11" s="3">
        <f t="shared" si="6"/>
        <v>1397.846</v>
      </c>
      <c r="E11" s="3">
        <f t="shared" si="6"/>
        <v>1541.1279999999999</v>
      </c>
      <c r="F11" s="3">
        <f t="shared" si="6"/>
        <v>118.47</v>
      </c>
      <c r="G11" s="3">
        <f t="shared" si="6"/>
        <v>50.92</v>
      </c>
      <c r="H11" s="3">
        <f t="shared" si="6"/>
        <v>138.16800000000001</v>
      </c>
      <c r="I11" s="3">
        <f t="shared" si="6"/>
        <v>141.29000000000002</v>
      </c>
      <c r="J11" s="3">
        <f t="shared" si="6"/>
        <v>357.93600000000004</v>
      </c>
      <c r="K11" s="3">
        <f t="shared" si="6"/>
        <v>337.21600000000001</v>
      </c>
      <c r="L11" s="3">
        <f t="shared" si="6"/>
        <v>531.06200000000001</v>
      </c>
      <c r="M11" s="3">
        <f t="shared" si="6"/>
        <v>262.39</v>
      </c>
      <c r="N11" s="3">
        <f t="shared" si="6"/>
        <v>260.71199999999999</v>
      </c>
      <c r="O11" s="3">
        <f t="shared" si="6"/>
        <v>803.48</v>
      </c>
      <c r="P11" s="3">
        <f t="shared" si="6"/>
        <v>49.756</v>
      </c>
      <c r="Q11" s="3">
        <f t="shared" si="6"/>
        <v>332.29599999999999</v>
      </c>
      <c r="R11" s="3">
        <f t="shared" si="6"/>
        <v>1782.0319999999999</v>
      </c>
      <c r="S11" s="3">
        <f t="shared" si="6"/>
        <v>298.47199999999998</v>
      </c>
    </row>
    <row r="12" spans="1:19" x14ac:dyDescent="0.25">
      <c r="A12">
        <v>2033</v>
      </c>
      <c r="B12" s="3">
        <f>0.4*B9+0.6*B14</f>
        <v>217.148</v>
      </c>
      <c r="C12" s="3">
        <f t="shared" ref="C12:S12" si="7">0.4*C9+0.6*C14</f>
        <v>42.287999999999997</v>
      </c>
      <c r="D12" s="3">
        <f t="shared" si="7"/>
        <v>1392.9939999999999</v>
      </c>
      <c r="E12" s="3">
        <f t="shared" si="7"/>
        <v>1552.0119999999999</v>
      </c>
      <c r="F12" s="3">
        <f t="shared" si="7"/>
        <v>117.73</v>
      </c>
      <c r="G12" s="3">
        <f t="shared" si="7"/>
        <v>50.75</v>
      </c>
      <c r="H12" s="3">
        <f t="shared" si="7"/>
        <v>139.03199999999998</v>
      </c>
      <c r="I12" s="3">
        <f t="shared" si="7"/>
        <v>140.89000000000001</v>
      </c>
      <c r="J12" s="3">
        <f t="shared" si="7"/>
        <v>359.47400000000005</v>
      </c>
      <c r="K12" s="3">
        <f t="shared" si="7"/>
        <v>339.274</v>
      </c>
      <c r="L12" s="3">
        <f t="shared" si="7"/>
        <v>530.41800000000001</v>
      </c>
      <c r="M12" s="3">
        <f t="shared" si="7"/>
        <v>263.33</v>
      </c>
      <c r="N12" s="3">
        <f t="shared" si="7"/>
        <v>261.738</v>
      </c>
      <c r="O12" s="3">
        <f t="shared" si="7"/>
        <v>812.75</v>
      </c>
      <c r="P12" s="3">
        <f t="shared" si="7"/>
        <v>50.213999999999999</v>
      </c>
      <c r="Q12" s="3">
        <f t="shared" si="7"/>
        <v>336.84399999999999</v>
      </c>
      <c r="R12" s="3">
        <f t="shared" si="7"/>
        <v>1818.4380000000001</v>
      </c>
      <c r="S12" s="3">
        <f t="shared" si="7"/>
        <v>300.23799999999994</v>
      </c>
    </row>
    <row r="13" spans="1:19" x14ac:dyDescent="0.25">
      <c r="A13">
        <v>2034</v>
      </c>
      <c r="B13" s="3">
        <f>0.2*B9+0.8*B14</f>
        <v>217.59400000000002</v>
      </c>
      <c r="C13" s="3">
        <f t="shared" ref="C13:S13" si="8">0.2*C9+0.8*C14</f>
        <v>42.544000000000004</v>
      </c>
      <c r="D13" s="3">
        <f t="shared" si="8"/>
        <v>1388.1420000000001</v>
      </c>
      <c r="E13" s="3">
        <f t="shared" si="8"/>
        <v>1562.8960000000002</v>
      </c>
      <c r="F13" s="3">
        <f t="shared" si="8"/>
        <v>116.99000000000001</v>
      </c>
      <c r="G13" s="3">
        <f t="shared" si="8"/>
        <v>50.580000000000005</v>
      </c>
      <c r="H13" s="3">
        <f t="shared" si="8"/>
        <v>139.89600000000002</v>
      </c>
      <c r="I13" s="3">
        <f t="shared" si="8"/>
        <v>140.49</v>
      </c>
      <c r="J13" s="3">
        <f t="shared" si="8"/>
        <v>361.01200000000006</v>
      </c>
      <c r="K13" s="3">
        <f t="shared" si="8"/>
        <v>341.33199999999999</v>
      </c>
      <c r="L13" s="3">
        <f t="shared" si="8"/>
        <v>529.774</v>
      </c>
      <c r="M13" s="3">
        <f t="shared" si="8"/>
        <v>264.27</v>
      </c>
      <c r="N13" s="3">
        <f t="shared" si="8"/>
        <v>262.76400000000007</v>
      </c>
      <c r="O13" s="3">
        <f t="shared" si="8"/>
        <v>822.0200000000001</v>
      </c>
      <c r="P13" s="3">
        <f t="shared" si="8"/>
        <v>50.672000000000004</v>
      </c>
      <c r="Q13" s="3">
        <f t="shared" si="8"/>
        <v>341.392</v>
      </c>
      <c r="R13" s="3">
        <f t="shared" si="8"/>
        <v>1854.8440000000001</v>
      </c>
      <c r="S13" s="3">
        <f t="shared" si="8"/>
        <v>302.00400000000002</v>
      </c>
    </row>
    <row r="14" spans="1:19" x14ac:dyDescent="0.25">
      <c r="A14">
        <v>2035</v>
      </c>
      <c r="B14" s="3">
        <v>218.04</v>
      </c>
      <c r="C14" s="3">
        <v>42.8</v>
      </c>
      <c r="D14" s="3">
        <v>1383.29</v>
      </c>
      <c r="E14" s="3">
        <v>1573.78</v>
      </c>
      <c r="F14" s="3">
        <v>116.25</v>
      </c>
      <c r="G14" s="3">
        <v>50.41</v>
      </c>
      <c r="H14" s="3">
        <v>140.76</v>
      </c>
      <c r="I14" s="3">
        <v>140.09</v>
      </c>
      <c r="J14" s="3">
        <v>362.55</v>
      </c>
      <c r="K14" s="3">
        <v>343.39</v>
      </c>
      <c r="L14" s="3">
        <v>529.13</v>
      </c>
      <c r="M14" s="3">
        <v>265.20999999999998</v>
      </c>
      <c r="N14" s="3">
        <v>263.79000000000002</v>
      </c>
      <c r="O14" s="3">
        <v>831.29</v>
      </c>
      <c r="P14" s="3">
        <v>51.13</v>
      </c>
      <c r="Q14" s="3">
        <v>345.94</v>
      </c>
      <c r="R14" s="3">
        <v>1891.25</v>
      </c>
      <c r="S14" s="3">
        <v>303.77</v>
      </c>
    </row>
    <row r="15" spans="1:19" x14ac:dyDescent="0.25">
      <c r="A15">
        <v>2036</v>
      </c>
      <c r="B15" s="3">
        <f>0.8*B14+0.2*B19</f>
        <v>218.27</v>
      </c>
      <c r="C15" s="3">
        <f t="shared" ref="C15:S15" si="9">0.8*C14+0.2*C19</f>
        <v>43.012</v>
      </c>
      <c r="D15" s="3">
        <f t="shared" si="9"/>
        <v>1377.2340000000002</v>
      </c>
      <c r="E15" s="3">
        <f t="shared" si="9"/>
        <v>1582.7660000000001</v>
      </c>
      <c r="F15" s="3">
        <f t="shared" si="9"/>
        <v>115.506</v>
      </c>
      <c r="G15" s="3">
        <f t="shared" si="9"/>
        <v>50.148000000000003</v>
      </c>
      <c r="H15" s="3">
        <f t="shared" si="9"/>
        <v>141.47200000000001</v>
      </c>
      <c r="I15" s="3">
        <f t="shared" si="9"/>
        <v>139.756</v>
      </c>
      <c r="J15" s="3">
        <f t="shared" si="9"/>
        <v>363.95400000000001</v>
      </c>
      <c r="K15" s="3">
        <f t="shared" si="9"/>
        <v>345.09199999999998</v>
      </c>
      <c r="L15" s="3">
        <f t="shared" si="9"/>
        <v>528.28800000000001</v>
      </c>
      <c r="M15" s="3">
        <f t="shared" si="9"/>
        <v>266.05600000000004</v>
      </c>
      <c r="N15" s="3">
        <f t="shared" si="9"/>
        <v>264.58000000000004</v>
      </c>
      <c r="O15" s="3">
        <f t="shared" si="9"/>
        <v>840.10599999999999</v>
      </c>
      <c r="P15" s="3">
        <f t="shared" si="9"/>
        <v>51.568000000000005</v>
      </c>
      <c r="Q15" s="3">
        <f t="shared" si="9"/>
        <v>350.346</v>
      </c>
      <c r="R15" s="3">
        <f t="shared" si="9"/>
        <v>1928.396</v>
      </c>
      <c r="S15" s="3">
        <f t="shared" si="9"/>
        <v>305.24799999999999</v>
      </c>
    </row>
    <row r="16" spans="1:19" x14ac:dyDescent="0.25">
      <c r="A16">
        <v>2037</v>
      </c>
      <c r="B16" s="3">
        <f>0.6*B14+0.4*B19</f>
        <v>218.5</v>
      </c>
      <c r="C16" s="3">
        <f t="shared" ref="C16:S16" si="10">0.6*C14+0.4*C19</f>
        <v>43.223999999999997</v>
      </c>
      <c r="D16" s="3">
        <f t="shared" si="10"/>
        <v>1371.1779999999999</v>
      </c>
      <c r="E16" s="3">
        <f t="shared" si="10"/>
        <v>1591.752</v>
      </c>
      <c r="F16" s="3">
        <f t="shared" si="10"/>
        <v>114.762</v>
      </c>
      <c r="G16" s="3">
        <f t="shared" si="10"/>
        <v>49.885999999999996</v>
      </c>
      <c r="H16" s="3">
        <f t="shared" si="10"/>
        <v>142.184</v>
      </c>
      <c r="I16" s="3">
        <f t="shared" si="10"/>
        <v>139.422</v>
      </c>
      <c r="J16" s="3">
        <f t="shared" si="10"/>
        <v>365.358</v>
      </c>
      <c r="K16" s="3">
        <f t="shared" si="10"/>
        <v>346.79399999999998</v>
      </c>
      <c r="L16" s="3">
        <f t="shared" si="10"/>
        <v>527.44600000000003</v>
      </c>
      <c r="M16" s="3">
        <f t="shared" si="10"/>
        <v>266.90199999999999</v>
      </c>
      <c r="N16" s="3">
        <f t="shared" si="10"/>
        <v>265.37</v>
      </c>
      <c r="O16" s="3">
        <f t="shared" si="10"/>
        <v>848.92200000000003</v>
      </c>
      <c r="P16" s="3">
        <f t="shared" si="10"/>
        <v>52.006</v>
      </c>
      <c r="Q16" s="3">
        <f t="shared" si="10"/>
        <v>354.75200000000001</v>
      </c>
      <c r="R16" s="3">
        <f t="shared" si="10"/>
        <v>1965.5419999999999</v>
      </c>
      <c r="S16" s="3">
        <f t="shared" si="10"/>
        <v>306.726</v>
      </c>
    </row>
    <row r="17" spans="1:19" x14ac:dyDescent="0.25">
      <c r="A17">
        <v>2038</v>
      </c>
      <c r="B17" s="3">
        <f>0.4*B14+0.6*B19</f>
        <v>218.73</v>
      </c>
      <c r="C17" s="3">
        <f t="shared" ref="C17:S17" si="11">0.4*C14+0.6*C19</f>
        <v>43.436</v>
      </c>
      <c r="D17" s="3">
        <f t="shared" si="11"/>
        <v>1365.1219999999998</v>
      </c>
      <c r="E17" s="3">
        <f t="shared" si="11"/>
        <v>1600.7380000000001</v>
      </c>
      <c r="F17" s="3">
        <f t="shared" si="11"/>
        <v>114.018</v>
      </c>
      <c r="G17" s="3">
        <f t="shared" si="11"/>
        <v>49.624000000000002</v>
      </c>
      <c r="H17" s="3">
        <f t="shared" si="11"/>
        <v>142.89600000000002</v>
      </c>
      <c r="I17" s="3">
        <f t="shared" si="11"/>
        <v>139.08799999999999</v>
      </c>
      <c r="J17" s="3">
        <f t="shared" si="11"/>
        <v>366.762</v>
      </c>
      <c r="K17" s="3">
        <f t="shared" si="11"/>
        <v>348.49599999999998</v>
      </c>
      <c r="L17" s="3">
        <f t="shared" si="11"/>
        <v>526.60399999999993</v>
      </c>
      <c r="M17" s="3">
        <f t="shared" si="11"/>
        <v>267.74799999999999</v>
      </c>
      <c r="N17" s="3">
        <f t="shared" si="11"/>
        <v>266.16000000000003</v>
      </c>
      <c r="O17" s="3">
        <f t="shared" si="11"/>
        <v>857.73800000000006</v>
      </c>
      <c r="P17" s="3">
        <f t="shared" si="11"/>
        <v>52.444000000000003</v>
      </c>
      <c r="Q17" s="3">
        <f t="shared" si="11"/>
        <v>359.15800000000002</v>
      </c>
      <c r="R17" s="3">
        <f t="shared" si="11"/>
        <v>2002.6879999999999</v>
      </c>
      <c r="S17" s="3">
        <f t="shared" si="11"/>
        <v>308.20400000000001</v>
      </c>
    </row>
    <row r="18" spans="1:19" x14ac:dyDescent="0.25">
      <c r="A18">
        <v>2039</v>
      </c>
      <c r="B18" s="3">
        <f>0.2*B14+0.8*B19</f>
        <v>218.96</v>
      </c>
      <c r="C18" s="3">
        <f t="shared" ref="C18:S18" si="12">0.2*C14+0.8*C19</f>
        <v>43.648000000000003</v>
      </c>
      <c r="D18" s="3">
        <f t="shared" si="12"/>
        <v>1359.0660000000003</v>
      </c>
      <c r="E18" s="3">
        <f t="shared" si="12"/>
        <v>1609.7240000000002</v>
      </c>
      <c r="F18" s="3">
        <f t="shared" si="12"/>
        <v>113.274</v>
      </c>
      <c r="G18" s="3">
        <f t="shared" si="12"/>
        <v>49.362000000000002</v>
      </c>
      <c r="H18" s="3">
        <f t="shared" si="12"/>
        <v>143.608</v>
      </c>
      <c r="I18" s="3">
        <f t="shared" si="12"/>
        <v>138.75399999999999</v>
      </c>
      <c r="J18" s="3">
        <f t="shared" si="12"/>
        <v>368.166</v>
      </c>
      <c r="K18" s="3">
        <f t="shared" si="12"/>
        <v>350.19799999999998</v>
      </c>
      <c r="L18" s="3">
        <f t="shared" si="12"/>
        <v>525.76199999999994</v>
      </c>
      <c r="M18" s="3">
        <f t="shared" si="12"/>
        <v>268.59400000000005</v>
      </c>
      <c r="N18" s="3">
        <f t="shared" si="12"/>
        <v>266.95000000000005</v>
      </c>
      <c r="O18" s="3">
        <f t="shared" si="12"/>
        <v>866.55400000000009</v>
      </c>
      <c r="P18" s="3">
        <f t="shared" si="12"/>
        <v>52.882000000000005</v>
      </c>
      <c r="Q18" s="3">
        <f t="shared" si="12"/>
        <v>363.56400000000002</v>
      </c>
      <c r="R18" s="3">
        <f t="shared" si="12"/>
        <v>2039.8340000000001</v>
      </c>
      <c r="S18" s="3">
        <f t="shared" si="12"/>
        <v>309.68200000000002</v>
      </c>
    </row>
    <row r="19" spans="1:19" x14ac:dyDescent="0.25">
      <c r="A19">
        <v>2040</v>
      </c>
      <c r="B19" s="3">
        <v>219.19</v>
      </c>
      <c r="C19" s="3">
        <v>43.86</v>
      </c>
      <c r="D19" s="3">
        <v>1353.01</v>
      </c>
      <c r="E19" s="3">
        <v>1618.71</v>
      </c>
      <c r="F19" s="3">
        <v>112.53</v>
      </c>
      <c r="G19" s="3">
        <v>49.1</v>
      </c>
      <c r="H19" s="3">
        <v>144.32</v>
      </c>
      <c r="I19" s="3">
        <v>138.41999999999999</v>
      </c>
      <c r="J19" s="3">
        <v>369.57</v>
      </c>
      <c r="K19" s="3">
        <v>351.9</v>
      </c>
      <c r="L19" s="3">
        <v>524.91999999999996</v>
      </c>
      <c r="M19" s="3">
        <v>269.44</v>
      </c>
      <c r="N19" s="3">
        <v>267.74</v>
      </c>
      <c r="O19" s="3">
        <v>875.37</v>
      </c>
      <c r="P19" s="3">
        <v>53.32</v>
      </c>
      <c r="Q19" s="3">
        <v>367.97</v>
      </c>
      <c r="R19" s="3">
        <v>2076.98</v>
      </c>
      <c r="S19" s="3">
        <v>311.16000000000003</v>
      </c>
    </row>
    <row r="20" spans="1:19" x14ac:dyDescent="0.25">
      <c r="A20">
        <v>2041</v>
      </c>
      <c r="B20" s="3">
        <f>0.8*B19+0.2*B24</f>
        <v>219.17600000000002</v>
      </c>
      <c r="C20" s="3">
        <f t="shared" ref="C20:S20" si="13">0.8*C19+0.2*C24</f>
        <v>44.04</v>
      </c>
      <c r="D20" s="3">
        <f t="shared" si="13"/>
        <v>1345.7460000000001</v>
      </c>
      <c r="E20" s="3">
        <f t="shared" si="13"/>
        <v>1625.614</v>
      </c>
      <c r="F20" s="3">
        <f t="shared" si="13"/>
        <v>111.806</v>
      </c>
      <c r="G20" s="3">
        <f t="shared" si="13"/>
        <v>48.764000000000003</v>
      </c>
      <c r="H20" s="3">
        <f t="shared" si="13"/>
        <v>144.86000000000001</v>
      </c>
      <c r="I20" s="3">
        <f t="shared" si="13"/>
        <v>138.184</v>
      </c>
      <c r="J20" s="3">
        <f t="shared" si="13"/>
        <v>370.77199999999999</v>
      </c>
      <c r="K20" s="3">
        <f t="shared" si="13"/>
        <v>353.19200000000001</v>
      </c>
      <c r="L20" s="3">
        <f t="shared" si="13"/>
        <v>523.91999999999996</v>
      </c>
      <c r="M20" s="3">
        <f t="shared" si="13"/>
        <v>270.21800000000002</v>
      </c>
      <c r="N20" s="3">
        <f t="shared" si="13"/>
        <v>268.214</v>
      </c>
      <c r="O20" s="3">
        <f t="shared" si="13"/>
        <v>883.60599999999999</v>
      </c>
      <c r="P20" s="3">
        <f t="shared" si="13"/>
        <v>53.744000000000007</v>
      </c>
      <c r="Q20" s="3">
        <f t="shared" si="13"/>
        <v>372.20200000000006</v>
      </c>
      <c r="R20" s="3">
        <f t="shared" si="13"/>
        <v>2114.3180000000002</v>
      </c>
      <c r="S20" s="3">
        <f t="shared" si="13"/>
        <v>312.28800000000001</v>
      </c>
    </row>
    <row r="21" spans="1:19" x14ac:dyDescent="0.25">
      <c r="A21">
        <v>2042</v>
      </c>
      <c r="B21" s="3">
        <f>0.6*B19+0.4*B24</f>
        <v>219.16199999999998</v>
      </c>
      <c r="C21" s="3">
        <f t="shared" ref="C21:S21" si="14">0.6*C19+0.4*C24</f>
        <v>44.22</v>
      </c>
      <c r="D21" s="3">
        <f t="shared" si="14"/>
        <v>1338.482</v>
      </c>
      <c r="E21" s="3">
        <f t="shared" si="14"/>
        <v>1632.518</v>
      </c>
      <c r="F21" s="3">
        <f t="shared" si="14"/>
        <v>111.08199999999999</v>
      </c>
      <c r="G21" s="3">
        <f t="shared" si="14"/>
        <v>48.427999999999997</v>
      </c>
      <c r="H21" s="3">
        <f t="shared" si="14"/>
        <v>145.4</v>
      </c>
      <c r="I21" s="3">
        <f t="shared" si="14"/>
        <v>137.94800000000001</v>
      </c>
      <c r="J21" s="3">
        <f t="shared" si="14"/>
        <v>371.97399999999999</v>
      </c>
      <c r="K21" s="3">
        <f t="shared" si="14"/>
        <v>354.48400000000004</v>
      </c>
      <c r="L21" s="3">
        <f t="shared" si="14"/>
        <v>522.91999999999996</v>
      </c>
      <c r="M21" s="3">
        <f t="shared" si="14"/>
        <v>270.99599999999998</v>
      </c>
      <c r="N21" s="3">
        <f t="shared" si="14"/>
        <v>268.68799999999999</v>
      </c>
      <c r="O21" s="3">
        <f t="shared" si="14"/>
        <v>891.84199999999998</v>
      </c>
      <c r="P21" s="3">
        <f t="shared" si="14"/>
        <v>54.167999999999999</v>
      </c>
      <c r="Q21" s="3">
        <f t="shared" si="14"/>
        <v>376.43400000000003</v>
      </c>
      <c r="R21" s="3">
        <f t="shared" si="14"/>
        <v>2151.6559999999999</v>
      </c>
      <c r="S21" s="3">
        <f t="shared" si="14"/>
        <v>313.416</v>
      </c>
    </row>
    <row r="22" spans="1:19" x14ac:dyDescent="0.25">
      <c r="A22">
        <v>2043</v>
      </c>
      <c r="B22" s="3">
        <f>0.4*B19+0.6*B24</f>
        <v>219.14800000000002</v>
      </c>
      <c r="C22" s="3">
        <f t="shared" ref="C22:S22" si="15">0.4*C19+0.6*C24</f>
        <v>44.4</v>
      </c>
      <c r="D22" s="3">
        <f t="shared" si="15"/>
        <v>1331.2180000000001</v>
      </c>
      <c r="E22" s="3">
        <f t="shared" si="15"/>
        <v>1639.422</v>
      </c>
      <c r="F22" s="3">
        <f t="shared" si="15"/>
        <v>110.35799999999999</v>
      </c>
      <c r="G22" s="3">
        <f t="shared" si="15"/>
        <v>48.091999999999999</v>
      </c>
      <c r="H22" s="3">
        <f t="shared" si="15"/>
        <v>145.94</v>
      </c>
      <c r="I22" s="3">
        <f t="shared" si="15"/>
        <v>137.71199999999999</v>
      </c>
      <c r="J22" s="3">
        <f t="shared" si="15"/>
        <v>373.17599999999999</v>
      </c>
      <c r="K22" s="3">
        <f t="shared" si="15"/>
        <v>355.77599999999995</v>
      </c>
      <c r="L22" s="3">
        <f t="shared" si="15"/>
        <v>521.91999999999996</v>
      </c>
      <c r="M22" s="3">
        <f t="shared" si="15"/>
        <v>271.774</v>
      </c>
      <c r="N22" s="3">
        <f t="shared" si="15"/>
        <v>269.16200000000003</v>
      </c>
      <c r="O22" s="3">
        <f t="shared" si="15"/>
        <v>900.07799999999997</v>
      </c>
      <c r="P22" s="3">
        <f t="shared" si="15"/>
        <v>54.591999999999999</v>
      </c>
      <c r="Q22" s="3">
        <f t="shared" si="15"/>
        <v>380.666</v>
      </c>
      <c r="R22" s="3">
        <f t="shared" si="15"/>
        <v>2188.9940000000001</v>
      </c>
      <c r="S22" s="3">
        <f t="shared" si="15"/>
        <v>314.54400000000004</v>
      </c>
    </row>
    <row r="23" spans="1:19" x14ac:dyDescent="0.25">
      <c r="A23">
        <v>2044</v>
      </c>
      <c r="B23" s="3">
        <f>0.2*B19+0.8*B24</f>
        <v>219.13400000000001</v>
      </c>
      <c r="C23" s="3">
        <f t="shared" ref="C23:S23" si="16">0.2*C19+0.8*C24</f>
        <v>44.58</v>
      </c>
      <c r="D23" s="3">
        <f t="shared" si="16"/>
        <v>1323.9540000000002</v>
      </c>
      <c r="E23" s="3">
        <f t="shared" si="16"/>
        <v>1646.326</v>
      </c>
      <c r="F23" s="3">
        <f t="shared" si="16"/>
        <v>109.634</v>
      </c>
      <c r="G23" s="3">
        <f t="shared" si="16"/>
        <v>47.756</v>
      </c>
      <c r="H23" s="3">
        <f t="shared" si="16"/>
        <v>146.48000000000002</v>
      </c>
      <c r="I23" s="3">
        <f t="shared" si="16"/>
        <v>137.476</v>
      </c>
      <c r="J23" s="3">
        <f t="shared" si="16"/>
        <v>374.37799999999999</v>
      </c>
      <c r="K23" s="3">
        <f t="shared" si="16"/>
        <v>357.06800000000004</v>
      </c>
      <c r="L23" s="3">
        <f t="shared" si="16"/>
        <v>520.91999999999996</v>
      </c>
      <c r="M23" s="3">
        <f t="shared" si="16"/>
        <v>272.55200000000002</v>
      </c>
      <c r="N23" s="3">
        <f t="shared" si="16"/>
        <v>269.63600000000002</v>
      </c>
      <c r="O23" s="3">
        <f t="shared" si="16"/>
        <v>908.31400000000008</v>
      </c>
      <c r="P23" s="3">
        <f t="shared" si="16"/>
        <v>55.016000000000005</v>
      </c>
      <c r="Q23" s="3">
        <f t="shared" si="16"/>
        <v>384.89800000000002</v>
      </c>
      <c r="R23" s="3">
        <f t="shared" si="16"/>
        <v>2226.3320000000003</v>
      </c>
      <c r="S23" s="3">
        <f t="shared" si="16"/>
        <v>315.67200000000003</v>
      </c>
    </row>
    <row r="24" spans="1:19" x14ac:dyDescent="0.25">
      <c r="A24">
        <v>2045</v>
      </c>
      <c r="B24" s="3">
        <v>219.12</v>
      </c>
      <c r="C24" s="3">
        <v>44.76</v>
      </c>
      <c r="D24" s="3">
        <v>1316.69</v>
      </c>
      <c r="E24" s="3">
        <v>1653.23</v>
      </c>
      <c r="F24" s="3">
        <v>108.91</v>
      </c>
      <c r="G24" s="3">
        <v>47.42</v>
      </c>
      <c r="H24" s="3">
        <v>147.02000000000001</v>
      </c>
      <c r="I24" s="3">
        <v>137.24</v>
      </c>
      <c r="J24" s="3">
        <v>375.58</v>
      </c>
      <c r="K24" s="3">
        <v>358.36</v>
      </c>
      <c r="L24" s="3">
        <v>519.91999999999996</v>
      </c>
      <c r="M24" s="3">
        <v>273.33</v>
      </c>
      <c r="N24" s="3">
        <v>270.11</v>
      </c>
      <c r="O24" s="3">
        <v>916.55</v>
      </c>
      <c r="P24" s="3">
        <v>55.44</v>
      </c>
      <c r="Q24" s="3">
        <v>389.13</v>
      </c>
      <c r="R24" s="3">
        <v>2263.67</v>
      </c>
      <c r="S24" s="3">
        <v>316.8</v>
      </c>
    </row>
    <row r="25" spans="1:19" x14ac:dyDescent="0.25">
      <c r="A25">
        <v>2046</v>
      </c>
      <c r="B25" s="3">
        <f>0.8*B24+0.2*B29</f>
        <v>218.83600000000001</v>
      </c>
      <c r="C25" s="3">
        <f t="shared" ref="C25:S25" si="17">0.8*C24+0.2*C29</f>
        <v>44.917999999999999</v>
      </c>
      <c r="D25" s="3">
        <f t="shared" si="17"/>
        <v>1307.6680000000001</v>
      </c>
      <c r="E25" s="3">
        <f t="shared" si="17"/>
        <v>1658.1220000000001</v>
      </c>
      <c r="F25" s="3">
        <f t="shared" si="17"/>
        <v>108.22</v>
      </c>
      <c r="G25" s="3">
        <f t="shared" si="17"/>
        <v>47.01</v>
      </c>
      <c r="H25" s="3">
        <f t="shared" si="17"/>
        <v>147.38000000000002</v>
      </c>
      <c r="I25" s="3">
        <f t="shared" si="17"/>
        <v>137.04400000000001</v>
      </c>
      <c r="J25" s="3">
        <f t="shared" si="17"/>
        <v>376.54599999999999</v>
      </c>
      <c r="K25" s="3">
        <f t="shared" si="17"/>
        <v>359.24600000000004</v>
      </c>
      <c r="L25" s="3">
        <f t="shared" si="17"/>
        <v>518.64</v>
      </c>
      <c r="M25" s="3">
        <f t="shared" si="17"/>
        <v>273.952</v>
      </c>
      <c r="N25" s="3">
        <f t="shared" si="17"/>
        <v>270.21400000000006</v>
      </c>
      <c r="O25" s="3">
        <f t="shared" si="17"/>
        <v>924.14599999999996</v>
      </c>
      <c r="P25" s="3">
        <f t="shared" si="17"/>
        <v>55.850000000000009</v>
      </c>
      <c r="Q25" s="3">
        <f t="shared" si="17"/>
        <v>393.12600000000003</v>
      </c>
      <c r="R25" s="3">
        <f t="shared" si="17"/>
        <v>2300.616</v>
      </c>
      <c r="S25" s="3">
        <f t="shared" si="17"/>
        <v>317.53200000000004</v>
      </c>
    </row>
    <row r="26" spans="1:19" x14ac:dyDescent="0.25">
      <c r="A26">
        <v>2047</v>
      </c>
      <c r="B26" s="3">
        <f>0.6*B24+0.4*B29</f>
        <v>218.55200000000002</v>
      </c>
      <c r="C26" s="3">
        <f t="shared" ref="C26:S26" si="18">0.6*C24+0.4*C29</f>
        <v>45.075999999999993</v>
      </c>
      <c r="D26" s="3">
        <f t="shared" si="18"/>
        <v>1298.646</v>
      </c>
      <c r="E26" s="3">
        <f t="shared" si="18"/>
        <v>1663.0140000000001</v>
      </c>
      <c r="F26" s="3">
        <f t="shared" si="18"/>
        <v>107.52999999999999</v>
      </c>
      <c r="G26" s="3">
        <f t="shared" si="18"/>
        <v>46.6</v>
      </c>
      <c r="H26" s="3">
        <f t="shared" si="18"/>
        <v>147.74</v>
      </c>
      <c r="I26" s="3">
        <f t="shared" si="18"/>
        <v>136.84800000000001</v>
      </c>
      <c r="J26" s="3">
        <f t="shared" si="18"/>
        <v>377.512</v>
      </c>
      <c r="K26" s="3">
        <f t="shared" si="18"/>
        <v>360.13200000000001</v>
      </c>
      <c r="L26" s="3">
        <f t="shared" si="18"/>
        <v>517.3599999999999</v>
      </c>
      <c r="M26" s="3">
        <f t="shared" si="18"/>
        <v>274.57400000000001</v>
      </c>
      <c r="N26" s="3">
        <f t="shared" si="18"/>
        <v>270.31799999999998</v>
      </c>
      <c r="O26" s="3">
        <f t="shared" si="18"/>
        <v>931.74199999999996</v>
      </c>
      <c r="P26" s="3">
        <f t="shared" si="18"/>
        <v>56.26</v>
      </c>
      <c r="Q26" s="3">
        <f t="shared" si="18"/>
        <v>397.12199999999996</v>
      </c>
      <c r="R26" s="3">
        <f t="shared" si="18"/>
        <v>2337.5619999999999</v>
      </c>
      <c r="S26" s="3">
        <f t="shared" si="18"/>
        <v>318.26400000000001</v>
      </c>
    </row>
    <row r="27" spans="1:19" x14ac:dyDescent="0.25">
      <c r="A27">
        <v>2048</v>
      </c>
      <c r="B27" s="3">
        <f>0.4*B24+0.6*B29</f>
        <v>218.26799999999997</v>
      </c>
      <c r="C27" s="3">
        <f t="shared" ref="C27:S27" si="19">0.4*C24+0.6*C29</f>
        <v>45.233999999999995</v>
      </c>
      <c r="D27" s="3">
        <f t="shared" si="19"/>
        <v>1289.624</v>
      </c>
      <c r="E27" s="3">
        <f t="shared" si="19"/>
        <v>1667.9059999999999</v>
      </c>
      <c r="F27" s="3">
        <f t="shared" si="19"/>
        <v>106.84</v>
      </c>
      <c r="G27" s="3">
        <f t="shared" si="19"/>
        <v>46.19</v>
      </c>
      <c r="H27" s="3">
        <f t="shared" si="19"/>
        <v>148.1</v>
      </c>
      <c r="I27" s="3">
        <f t="shared" si="19"/>
        <v>136.65199999999999</v>
      </c>
      <c r="J27" s="3">
        <f t="shared" si="19"/>
        <v>378.47800000000001</v>
      </c>
      <c r="K27" s="3">
        <f t="shared" si="19"/>
        <v>361.01800000000003</v>
      </c>
      <c r="L27" s="3">
        <f t="shared" si="19"/>
        <v>516.07999999999993</v>
      </c>
      <c r="M27" s="3">
        <f t="shared" si="19"/>
        <v>275.19600000000003</v>
      </c>
      <c r="N27" s="3">
        <f t="shared" si="19"/>
        <v>270.42200000000003</v>
      </c>
      <c r="O27" s="3">
        <f t="shared" si="19"/>
        <v>939.33799999999997</v>
      </c>
      <c r="P27" s="3">
        <f t="shared" si="19"/>
        <v>56.67</v>
      </c>
      <c r="Q27" s="3">
        <f t="shared" si="19"/>
        <v>401.11800000000005</v>
      </c>
      <c r="R27" s="3">
        <f t="shared" si="19"/>
        <v>2374.5079999999998</v>
      </c>
      <c r="S27" s="3">
        <f t="shared" si="19"/>
        <v>318.99599999999998</v>
      </c>
    </row>
    <row r="28" spans="1:19" x14ac:dyDescent="0.25">
      <c r="A28">
        <v>2049</v>
      </c>
      <c r="B28" s="3">
        <f>0.2*B24+0.8*B29</f>
        <v>217.98400000000001</v>
      </c>
      <c r="C28" s="3">
        <f t="shared" ref="C28:S28" si="20">0.2*C24+0.8*C29</f>
        <v>45.391999999999996</v>
      </c>
      <c r="D28" s="3">
        <f t="shared" si="20"/>
        <v>1280.6020000000001</v>
      </c>
      <c r="E28" s="3">
        <f t="shared" si="20"/>
        <v>1672.798</v>
      </c>
      <c r="F28" s="3">
        <f t="shared" si="20"/>
        <v>106.14999999999999</v>
      </c>
      <c r="G28" s="3">
        <f t="shared" si="20"/>
        <v>45.78</v>
      </c>
      <c r="H28" s="3">
        <f t="shared" si="20"/>
        <v>148.46</v>
      </c>
      <c r="I28" s="3">
        <f t="shared" si="20"/>
        <v>136.45599999999999</v>
      </c>
      <c r="J28" s="3">
        <f t="shared" si="20"/>
        <v>379.44400000000002</v>
      </c>
      <c r="K28" s="3">
        <f t="shared" si="20"/>
        <v>361.90400000000005</v>
      </c>
      <c r="L28" s="3">
        <f t="shared" si="20"/>
        <v>514.80000000000007</v>
      </c>
      <c r="M28" s="3">
        <f t="shared" si="20"/>
        <v>275.81799999999998</v>
      </c>
      <c r="N28" s="3">
        <f t="shared" si="20"/>
        <v>270.52600000000001</v>
      </c>
      <c r="O28" s="3">
        <f t="shared" si="20"/>
        <v>946.93399999999997</v>
      </c>
      <c r="P28" s="3">
        <f t="shared" si="20"/>
        <v>57.080000000000005</v>
      </c>
      <c r="Q28" s="3">
        <f t="shared" si="20"/>
        <v>405.11400000000003</v>
      </c>
      <c r="R28" s="3">
        <f t="shared" si="20"/>
        <v>2411.4540000000002</v>
      </c>
      <c r="S28" s="3">
        <f t="shared" si="20"/>
        <v>319.72800000000001</v>
      </c>
    </row>
    <row r="29" spans="1:19" x14ac:dyDescent="0.25">
      <c r="A29">
        <v>2050</v>
      </c>
      <c r="B29" s="3">
        <v>217.7</v>
      </c>
      <c r="C29" s="3">
        <v>45.55</v>
      </c>
      <c r="D29" s="3">
        <v>1271.58</v>
      </c>
      <c r="E29" s="3">
        <v>1677.69</v>
      </c>
      <c r="F29" s="3">
        <v>105.46</v>
      </c>
      <c r="G29" s="3">
        <v>45.37</v>
      </c>
      <c r="H29" s="3">
        <v>148.82</v>
      </c>
      <c r="I29" s="3">
        <v>136.26</v>
      </c>
      <c r="J29" s="3">
        <v>380.41</v>
      </c>
      <c r="K29" s="3">
        <v>362.79</v>
      </c>
      <c r="L29" s="3">
        <v>513.52</v>
      </c>
      <c r="M29" s="3">
        <v>276.44</v>
      </c>
      <c r="N29" s="3">
        <v>270.63</v>
      </c>
      <c r="O29" s="3">
        <v>954.53</v>
      </c>
      <c r="P29" s="3">
        <v>57.49</v>
      </c>
      <c r="Q29" s="3">
        <v>409.11</v>
      </c>
      <c r="R29" s="3">
        <v>2448.4</v>
      </c>
      <c r="S29" s="3">
        <v>320.45999999999998</v>
      </c>
    </row>
    <row r="30" spans="1:19" x14ac:dyDescent="0.25">
      <c r="A30">
        <v>2051</v>
      </c>
      <c r="B30" s="3">
        <f>0.8*B29+0.2*B34</f>
        <v>217.184</v>
      </c>
      <c r="C30" s="3">
        <f t="shared" ref="C30:S30" si="21">0.8*C29+0.2*C34</f>
        <v>45.695999999999998</v>
      </c>
      <c r="D30" s="3">
        <f t="shared" si="21"/>
        <v>1260.146</v>
      </c>
      <c r="E30" s="3">
        <f t="shared" si="21"/>
        <v>1680.806</v>
      </c>
      <c r="F30" s="3">
        <f t="shared" si="21"/>
        <v>104.782</v>
      </c>
      <c r="G30" s="3">
        <f t="shared" si="21"/>
        <v>44.875999999999998</v>
      </c>
      <c r="H30" s="3">
        <f t="shared" si="21"/>
        <v>149.006</v>
      </c>
      <c r="I30" s="3">
        <f t="shared" si="21"/>
        <v>135.97199999999998</v>
      </c>
      <c r="J30" s="3">
        <f t="shared" si="21"/>
        <v>381.23200000000003</v>
      </c>
      <c r="K30" s="3">
        <f t="shared" si="21"/>
        <v>363.28800000000001</v>
      </c>
      <c r="L30" s="3">
        <f t="shared" si="21"/>
        <v>511.90600000000006</v>
      </c>
      <c r="M30" s="3">
        <f t="shared" si="21"/>
        <v>276.78399999999999</v>
      </c>
      <c r="N30" s="3">
        <f t="shared" si="21"/>
        <v>270.358</v>
      </c>
      <c r="O30" s="3">
        <f t="shared" si="21"/>
        <v>961.31600000000003</v>
      </c>
      <c r="P30" s="3">
        <f t="shared" si="21"/>
        <v>57.872000000000007</v>
      </c>
      <c r="Q30" s="3">
        <f t="shared" si="21"/>
        <v>412.822</v>
      </c>
      <c r="R30" s="3">
        <f t="shared" si="21"/>
        <v>2484.5740000000005</v>
      </c>
      <c r="S30" s="3">
        <f t="shared" si="21"/>
        <v>320.82</v>
      </c>
    </row>
    <row r="31" spans="1:19" x14ac:dyDescent="0.25">
      <c r="A31">
        <v>2052</v>
      </c>
      <c r="B31" s="3">
        <f>0.6*B29+0.4*B34</f>
        <v>216.66799999999998</v>
      </c>
      <c r="C31" s="3">
        <f t="shared" ref="C31:S31" si="22">0.6*C29+0.4*C34</f>
        <v>45.841999999999999</v>
      </c>
      <c r="D31" s="3">
        <f t="shared" si="22"/>
        <v>1248.712</v>
      </c>
      <c r="E31" s="3">
        <f t="shared" si="22"/>
        <v>1683.922</v>
      </c>
      <c r="F31" s="3">
        <f t="shared" si="22"/>
        <v>104.104</v>
      </c>
      <c r="G31" s="3">
        <f t="shared" si="22"/>
        <v>44.381999999999998</v>
      </c>
      <c r="H31" s="3">
        <f t="shared" si="22"/>
        <v>149.19200000000001</v>
      </c>
      <c r="I31" s="3">
        <f t="shared" si="22"/>
        <v>135.68399999999997</v>
      </c>
      <c r="J31" s="3">
        <f t="shared" si="22"/>
        <v>382.05399999999997</v>
      </c>
      <c r="K31" s="3">
        <f t="shared" si="22"/>
        <v>363.786</v>
      </c>
      <c r="L31" s="3">
        <f t="shared" si="22"/>
        <v>510.29199999999997</v>
      </c>
      <c r="M31" s="3">
        <f t="shared" si="22"/>
        <v>277.12800000000004</v>
      </c>
      <c r="N31" s="3">
        <f t="shared" si="22"/>
        <v>270.08600000000001</v>
      </c>
      <c r="O31" s="3">
        <f t="shared" si="22"/>
        <v>968.10199999999998</v>
      </c>
      <c r="P31" s="3">
        <f t="shared" si="22"/>
        <v>58.254000000000005</v>
      </c>
      <c r="Q31" s="3">
        <f t="shared" si="22"/>
        <v>416.53399999999999</v>
      </c>
      <c r="R31" s="3">
        <f t="shared" si="22"/>
        <v>2520.748</v>
      </c>
      <c r="S31" s="3">
        <f t="shared" si="22"/>
        <v>321.17999999999995</v>
      </c>
    </row>
    <row r="32" spans="1:19" x14ac:dyDescent="0.25">
      <c r="A32">
        <v>2053</v>
      </c>
      <c r="B32" s="3">
        <f>0.4*B29+0.6*B34</f>
        <v>216.15199999999999</v>
      </c>
      <c r="C32" s="3">
        <f t="shared" ref="C32:S32" si="23">0.4*C29+0.6*C34</f>
        <v>45.988</v>
      </c>
      <c r="D32" s="3">
        <f t="shared" si="23"/>
        <v>1237.278</v>
      </c>
      <c r="E32" s="3">
        <f t="shared" si="23"/>
        <v>1687.038</v>
      </c>
      <c r="F32" s="3">
        <f t="shared" si="23"/>
        <v>103.42599999999999</v>
      </c>
      <c r="G32" s="3">
        <f t="shared" si="23"/>
        <v>43.887999999999998</v>
      </c>
      <c r="H32" s="3">
        <f t="shared" si="23"/>
        <v>149.37799999999999</v>
      </c>
      <c r="I32" s="3">
        <f t="shared" si="23"/>
        <v>135.39599999999999</v>
      </c>
      <c r="J32" s="3">
        <f t="shared" si="23"/>
        <v>382.87599999999998</v>
      </c>
      <c r="K32" s="3">
        <f t="shared" si="23"/>
        <v>364.28399999999999</v>
      </c>
      <c r="L32" s="3">
        <f t="shared" si="23"/>
        <v>508.678</v>
      </c>
      <c r="M32" s="3">
        <f t="shared" si="23"/>
        <v>277.47200000000004</v>
      </c>
      <c r="N32" s="3">
        <f t="shared" si="23"/>
        <v>269.81399999999996</v>
      </c>
      <c r="O32" s="3">
        <f t="shared" si="23"/>
        <v>974.88800000000003</v>
      </c>
      <c r="P32" s="3">
        <f t="shared" si="23"/>
        <v>58.636000000000003</v>
      </c>
      <c r="Q32" s="3">
        <f t="shared" si="23"/>
        <v>420.24599999999998</v>
      </c>
      <c r="R32" s="3">
        <f t="shared" si="23"/>
        <v>2556.922</v>
      </c>
      <c r="S32" s="3">
        <f t="shared" si="23"/>
        <v>321.53999999999996</v>
      </c>
    </row>
    <row r="33" spans="1:19" x14ac:dyDescent="0.25">
      <c r="A33">
        <v>2054</v>
      </c>
      <c r="B33" s="3">
        <f>0.2*B29+0.8*B34</f>
        <v>215.636</v>
      </c>
      <c r="C33" s="3">
        <f t="shared" ref="C33:S33" si="24">0.2*C29+0.8*C34</f>
        <v>46.134</v>
      </c>
      <c r="D33" s="3">
        <f t="shared" si="24"/>
        <v>1225.8440000000001</v>
      </c>
      <c r="E33" s="3">
        <f t="shared" si="24"/>
        <v>1690.154</v>
      </c>
      <c r="F33" s="3">
        <f t="shared" si="24"/>
        <v>102.748</v>
      </c>
      <c r="G33" s="3">
        <f t="shared" si="24"/>
        <v>43.393999999999998</v>
      </c>
      <c r="H33" s="3">
        <f t="shared" si="24"/>
        <v>149.56400000000002</v>
      </c>
      <c r="I33" s="3">
        <f t="shared" si="24"/>
        <v>135.108</v>
      </c>
      <c r="J33" s="3">
        <f t="shared" si="24"/>
        <v>383.69799999999998</v>
      </c>
      <c r="K33" s="3">
        <f t="shared" si="24"/>
        <v>364.78199999999998</v>
      </c>
      <c r="L33" s="3">
        <f t="shared" si="24"/>
        <v>507.06400000000002</v>
      </c>
      <c r="M33" s="3">
        <f t="shared" si="24"/>
        <v>277.81600000000003</v>
      </c>
      <c r="N33" s="3">
        <f t="shared" si="24"/>
        <v>269.54200000000003</v>
      </c>
      <c r="O33" s="3">
        <f t="shared" si="24"/>
        <v>981.67399999999998</v>
      </c>
      <c r="P33" s="3">
        <f t="shared" si="24"/>
        <v>59.018000000000001</v>
      </c>
      <c r="Q33" s="3">
        <f t="shared" si="24"/>
        <v>423.95800000000003</v>
      </c>
      <c r="R33" s="3">
        <f t="shared" si="24"/>
        <v>2593.0960000000005</v>
      </c>
      <c r="S33" s="3">
        <f t="shared" si="24"/>
        <v>321.89999999999998</v>
      </c>
    </row>
    <row r="34" spans="1:19" x14ac:dyDescent="0.25">
      <c r="A34">
        <v>2055</v>
      </c>
      <c r="B34" s="3">
        <v>215.12</v>
      </c>
      <c r="C34" s="3">
        <v>46.28</v>
      </c>
      <c r="D34" s="3">
        <v>1214.4100000000001</v>
      </c>
      <c r="E34" s="3">
        <v>1693.27</v>
      </c>
      <c r="F34" s="3">
        <v>102.07</v>
      </c>
      <c r="G34" s="3">
        <v>42.9</v>
      </c>
      <c r="H34" s="3">
        <v>149.75</v>
      </c>
      <c r="I34" s="3">
        <v>134.82</v>
      </c>
      <c r="J34" s="3">
        <v>384.52</v>
      </c>
      <c r="K34" s="3">
        <v>365.28</v>
      </c>
      <c r="L34" s="3">
        <v>505.45</v>
      </c>
      <c r="M34" s="3">
        <v>278.16000000000003</v>
      </c>
      <c r="N34" s="3">
        <v>269.27</v>
      </c>
      <c r="O34" s="3">
        <v>988.46</v>
      </c>
      <c r="P34" s="3">
        <v>59.4</v>
      </c>
      <c r="Q34" s="3">
        <v>427.67</v>
      </c>
      <c r="R34" s="3">
        <v>2629.27</v>
      </c>
      <c r="S34" s="3">
        <v>322.26</v>
      </c>
    </row>
    <row r="35" spans="1:19" x14ac:dyDescent="0.25">
      <c r="A35">
        <v>2056</v>
      </c>
      <c r="B35" s="3">
        <f>0.8*B34+0.2*B39</f>
        <v>214.38800000000001</v>
      </c>
      <c r="C35" s="3">
        <f t="shared" ref="C35:S35" si="25">0.8*C34+0.2*C39</f>
        <v>46.436</v>
      </c>
      <c r="D35" s="3">
        <f t="shared" si="25"/>
        <v>1200.9960000000001</v>
      </c>
      <c r="E35" s="3">
        <f t="shared" si="25"/>
        <v>1694.7539999999999</v>
      </c>
      <c r="F35" s="3">
        <f t="shared" si="25"/>
        <v>101.352</v>
      </c>
      <c r="G35" s="3">
        <f t="shared" si="25"/>
        <v>42.347999999999999</v>
      </c>
      <c r="H35" s="3">
        <f t="shared" si="25"/>
        <v>149.78400000000002</v>
      </c>
      <c r="I35" s="3">
        <f t="shared" si="25"/>
        <v>134.46799999999999</v>
      </c>
      <c r="J35" s="3">
        <f t="shared" si="25"/>
        <v>385.31799999999998</v>
      </c>
      <c r="K35" s="3">
        <f t="shared" si="25"/>
        <v>365.39600000000002</v>
      </c>
      <c r="L35" s="3">
        <f t="shared" si="25"/>
        <v>503.536</v>
      </c>
      <c r="M35" s="3">
        <f t="shared" si="25"/>
        <v>278.23400000000004</v>
      </c>
      <c r="N35" s="3">
        <f t="shared" si="25"/>
        <v>268.7</v>
      </c>
      <c r="O35" s="3">
        <f t="shared" si="25"/>
        <v>994.53600000000006</v>
      </c>
      <c r="P35" s="3">
        <f t="shared" si="25"/>
        <v>59.760000000000005</v>
      </c>
      <c r="Q35" s="3">
        <f t="shared" si="25"/>
        <v>431.03600000000006</v>
      </c>
      <c r="R35" s="3">
        <f t="shared" si="25"/>
        <v>2664.2960000000003</v>
      </c>
      <c r="S35" s="3">
        <f t="shared" si="25"/>
        <v>322.322</v>
      </c>
    </row>
    <row r="36" spans="1:19" x14ac:dyDescent="0.25">
      <c r="A36">
        <v>2057</v>
      </c>
      <c r="B36" s="3">
        <f>0.6*B34+0.4*B39</f>
        <v>213.65600000000001</v>
      </c>
      <c r="C36" s="3">
        <f t="shared" ref="C36:S36" si="26">0.6*C34+0.4*C39</f>
        <v>46.591999999999999</v>
      </c>
      <c r="D36" s="3">
        <f t="shared" si="26"/>
        <v>1187.5820000000001</v>
      </c>
      <c r="E36" s="3">
        <f t="shared" si="26"/>
        <v>1696.2380000000001</v>
      </c>
      <c r="F36" s="3">
        <f t="shared" si="26"/>
        <v>100.63399999999999</v>
      </c>
      <c r="G36" s="3">
        <f t="shared" si="26"/>
        <v>41.795999999999999</v>
      </c>
      <c r="H36" s="3">
        <f t="shared" si="26"/>
        <v>149.81799999999998</v>
      </c>
      <c r="I36" s="3">
        <f t="shared" si="26"/>
        <v>134.11599999999999</v>
      </c>
      <c r="J36" s="3">
        <f t="shared" si="26"/>
        <v>386.11599999999999</v>
      </c>
      <c r="K36" s="3">
        <f t="shared" si="26"/>
        <v>365.512</v>
      </c>
      <c r="L36" s="3">
        <f t="shared" si="26"/>
        <v>501.62199999999996</v>
      </c>
      <c r="M36" s="3">
        <f t="shared" si="26"/>
        <v>278.30799999999999</v>
      </c>
      <c r="N36" s="3">
        <f t="shared" si="26"/>
        <v>268.13</v>
      </c>
      <c r="O36" s="3">
        <f t="shared" si="26"/>
        <v>1000.6120000000001</v>
      </c>
      <c r="P36" s="3">
        <f t="shared" si="26"/>
        <v>60.120000000000005</v>
      </c>
      <c r="Q36" s="3">
        <f t="shared" si="26"/>
        <v>434.40199999999999</v>
      </c>
      <c r="R36" s="3">
        <f t="shared" si="26"/>
        <v>2699.3220000000001</v>
      </c>
      <c r="S36" s="3">
        <f t="shared" si="26"/>
        <v>322.38400000000001</v>
      </c>
    </row>
    <row r="37" spans="1:19" x14ac:dyDescent="0.25">
      <c r="A37">
        <v>2058</v>
      </c>
      <c r="B37" s="3">
        <f>0.4*B34+0.6*B39</f>
        <v>212.92400000000001</v>
      </c>
      <c r="C37" s="3">
        <f t="shared" ref="C37:S37" si="27">0.4*C34+0.6*C39</f>
        <v>46.748000000000005</v>
      </c>
      <c r="D37" s="3">
        <f t="shared" si="27"/>
        <v>1174.1679999999999</v>
      </c>
      <c r="E37" s="3">
        <f t="shared" si="27"/>
        <v>1697.722</v>
      </c>
      <c r="F37" s="3">
        <f t="shared" si="27"/>
        <v>99.915999999999997</v>
      </c>
      <c r="G37" s="3">
        <f t="shared" si="27"/>
        <v>41.244</v>
      </c>
      <c r="H37" s="3">
        <f t="shared" si="27"/>
        <v>149.85199999999998</v>
      </c>
      <c r="I37" s="3">
        <f t="shared" si="27"/>
        <v>133.76400000000001</v>
      </c>
      <c r="J37" s="3">
        <f t="shared" si="27"/>
        <v>386.91399999999999</v>
      </c>
      <c r="K37" s="3">
        <f t="shared" si="27"/>
        <v>365.62799999999999</v>
      </c>
      <c r="L37" s="3">
        <f t="shared" si="27"/>
        <v>499.70799999999997</v>
      </c>
      <c r="M37" s="3">
        <f t="shared" si="27"/>
        <v>278.38199999999995</v>
      </c>
      <c r="N37" s="3">
        <f t="shared" si="27"/>
        <v>267.56</v>
      </c>
      <c r="O37" s="3">
        <f t="shared" si="27"/>
        <v>1006.688</v>
      </c>
      <c r="P37" s="3">
        <f t="shared" si="27"/>
        <v>60.480000000000004</v>
      </c>
      <c r="Q37" s="3">
        <f t="shared" si="27"/>
        <v>437.76800000000003</v>
      </c>
      <c r="R37" s="3">
        <f t="shared" si="27"/>
        <v>2734.348</v>
      </c>
      <c r="S37" s="3">
        <f t="shared" si="27"/>
        <v>322.44600000000003</v>
      </c>
    </row>
    <row r="38" spans="1:19" x14ac:dyDescent="0.25">
      <c r="A38">
        <v>2059</v>
      </c>
      <c r="B38" s="3">
        <f>0.2*B34+0.8*B39</f>
        <v>212.19200000000001</v>
      </c>
      <c r="C38" s="3">
        <f t="shared" ref="C38:S38" si="28">0.2*C34+0.8*C39</f>
        <v>46.904000000000003</v>
      </c>
      <c r="D38" s="3">
        <f t="shared" si="28"/>
        <v>1160.7539999999999</v>
      </c>
      <c r="E38" s="3">
        <f t="shared" si="28"/>
        <v>1699.2060000000001</v>
      </c>
      <c r="F38" s="3">
        <f t="shared" si="28"/>
        <v>99.198000000000008</v>
      </c>
      <c r="G38" s="3">
        <f t="shared" si="28"/>
        <v>40.692</v>
      </c>
      <c r="H38" s="3">
        <f t="shared" si="28"/>
        <v>149.886</v>
      </c>
      <c r="I38" s="3">
        <f t="shared" si="28"/>
        <v>133.41200000000001</v>
      </c>
      <c r="J38" s="3">
        <f t="shared" si="28"/>
        <v>387.71199999999999</v>
      </c>
      <c r="K38" s="3">
        <f t="shared" si="28"/>
        <v>365.74400000000003</v>
      </c>
      <c r="L38" s="3">
        <f t="shared" si="28"/>
        <v>497.79399999999998</v>
      </c>
      <c r="M38" s="3">
        <f t="shared" si="28"/>
        <v>278.45600000000002</v>
      </c>
      <c r="N38" s="3">
        <f t="shared" si="28"/>
        <v>266.99</v>
      </c>
      <c r="O38" s="3">
        <f t="shared" si="28"/>
        <v>1012.7640000000001</v>
      </c>
      <c r="P38" s="3">
        <f t="shared" si="28"/>
        <v>60.840000000000011</v>
      </c>
      <c r="Q38" s="3">
        <f t="shared" si="28"/>
        <v>441.13400000000001</v>
      </c>
      <c r="R38" s="3">
        <f t="shared" si="28"/>
        <v>2769.3739999999998</v>
      </c>
      <c r="S38" s="3">
        <f t="shared" si="28"/>
        <v>322.50799999999998</v>
      </c>
    </row>
    <row r="39" spans="1:19" x14ac:dyDescent="0.25">
      <c r="A39">
        <v>2060</v>
      </c>
      <c r="B39" s="3">
        <v>211.46</v>
      </c>
      <c r="C39" s="3">
        <v>47.06</v>
      </c>
      <c r="D39" s="3">
        <v>1147.3399999999999</v>
      </c>
      <c r="E39" s="3">
        <v>1700.69</v>
      </c>
      <c r="F39" s="3">
        <v>98.48</v>
      </c>
      <c r="G39" s="3">
        <v>40.14</v>
      </c>
      <c r="H39" s="3">
        <v>149.91999999999999</v>
      </c>
      <c r="I39" s="3">
        <v>133.06</v>
      </c>
      <c r="J39" s="3">
        <v>388.51</v>
      </c>
      <c r="K39" s="3">
        <v>365.86</v>
      </c>
      <c r="L39" s="3">
        <v>495.88</v>
      </c>
      <c r="M39" s="3">
        <v>278.52999999999997</v>
      </c>
      <c r="N39" s="3">
        <v>266.42</v>
      </c>
      <c r="O39" s="3">
        <v>1018.84</v>
      </c>
      <c r="P39" s="3">
        <v>61.2</v>
      </c>
      <c r="Q39" s="3">
        <v>444.5</v>
      </c>
      <c r="R39" s="3">
        <v>2804.4</v>
      </c>
      <c r="S39" s="3">
        <v>322.57</v>
      </c>
    </row>
    <row r="40" spans="1:19" x14ac:dyDescent="0.25">
      <c r="A40">
        <v>2061</v>
      </c>
      <c r="B40" s="3">
        <f>0.8*B39+0.2*B44</f>
        <v>210.53800000000001</v>
      </c>
      <c r="C40" s="3">
        <f t="shared" ref="C40:S40" si="29">0.8*C39+0.2*C44</f>
        <v>47.232000000000006</v>
      </c>
      <c r="D40" s="3">
        <f t="shared" si="29"/>
        <v>1133.3319999999999</v>
      </c>
      <c r="E40" s="3">
        <f t="shared" si="29"/>
        <v>1700.5300000000002</v>
      </c>
      <c r="F40" s="3">
        <f t="shared" si="29"/>
        <v>97.725999999999999</v>
      </c>
      <c r="G40" s="3">
        <f t="shared" si="29"/>
        <v>39.584000000000003</v>
      </c>
      <c r="H40" s="3">
        <f t="shared" si="29"/>
        <v>149.816</v>
      </c>
      <c r="I40" s="3">
        <f t="shared" si="29"/>
        <v>132.71800000000002</v>
      </c>
      <c r="J40" s="3">
        <f t="shared" si="29"/>
        <v>389.38599999999997</v>
      </c>
      <c r="K40" s="3">
        <f t="shared" si="29"/>
        <v>365.63200000000006</v>
      </c>
      <c r="L40" s="3">
        <f t="shared" si="29"/>
        <v>493.93400000000003</v>
      </c>
      <c r="M40" s="3">
        <f t="shared" si="29"/>
        <v>278.39599999999996</v>
      </c>
      <c r="N40" s="3">
        <f t="shared" si="29"/>
        <v>265.65000000000003</v>
      </c>
      <c r="O40" s="3">
        <f t="shared" si="29"/>
        <v>1024.0640000000001</v>
      </c>
      <c r="P40" s="3">
        <f t="shared" si="29"/>
        <v>61.538000000000011</v>
      </c>
      <c r="Q40" s="3">
        <f t="shared" si="29"/>
        <v>447.51600000000002</v>
      </c>
      <c r="R40" s="3">
        <f t="shared" si="29"/>
        <v>2837.92</v>
      </c>
      <c r="S40" s="3">
        <f t="shared" si="29"/>
        <v>322.41800000000001</v>
      </c>
    </row>
    <row r="41" spans="1:19" x14ac:dyDescent="0.25">
      <c r="A41">
        <v>2062</v>
      </c>
      <c r="B41" s="3">
        <f>0.6*B39+0.4*B44</f>
        <v>209.61600000000001</v>
      </c>
      <c r="C41" s="3">
        <f t="shared" ref="C41:S41" si="30">0.6*C39+0.4*C44</f>
        <v>47.404000000000003</v>
      </c>
      <c r="D41" s="3">
        <f t="shared" si="30"/>
        <v>1119.3239999999998</v>
      </c>
      <c r="E41" s="3">
        <f t="shared" si="30"/>
        <v>1700.3700000000001</v>
      </c>
      <c r="F41" s="3">
        <f t="shared" si="30"/>
        <v>96.972000000000008</v>
      </c>
      <c r="G41" s="3">
        <f t="shared" si="30"/>
        <v>39.027999999999999</v>
      </c>
      <c r="H41" s="3">
        <f t="shared" si="30"/>
        <v>149.71199999999999</v>
      </c>
      <c r="I41" s="3">
        <f t="shared" si="30"/>
        <v>132.376</v>
      </c>
      <c r="J41" s="3">
        <f t="shared" si="30"/>
        <v>390.262</v>
      </c>
      <c r="K41" s="3">
        <f t="shared" si="30"/>
        <v>365.404</v>
      </c>
      <c r="L41" s="3">
        <f t="shared" si="30"/>
        <v>491.98799999999994</v>
      </c>
      <c r="M41" s="3">
        <f t="shared" si="30"/>
        <v>278.26199999999994</v>
      </c>
      <c r="N41" s="3">
        <f t="shared" si="30"/>
        <v>264.88</v>
      </c>
      <c r="O41" s="3">
        <f t="shared" si="30"/>
        <v>1029.288</v>
      </c>
      <c r="P41" s="3">
        <f t="shared" si="30"/>
        <v>61.876000000000005</v>
      </c>
      <c r="Q41" s="3">
        <f t="shared" si="30"/>
        <v>450.53199999999998</v>
      </c>
      <c r="R41" s="3">
        <f t="shared" si="30"/>
        <v>2871.44</v>
      </c>
      <c r="S41" s="3">
        <f t="shared" si="30"/>
        <v>322.26600000000002</v>
      </c>
    </row>
    <row r="42" spans="1:19" x14ac:dyDescent="0.25">
      <c r="A42">
        <v>2063</v>
      </c>
      <c r="B42" s="3">
        <f>0.4*B39+0.6*B44</f>
        <v>208.69399999999999</v>
      </c>
      <c r="C42" s="3">
        <f t="shared" ref="C42:S42" si="31">0.4*C39+0.6*C44</f>
        <v>47.576000000000001</v>
      </c>
      <c r="D42" s="3">
        <f t="shared" si="31"/>
        <v>1105.316</v>
      </c>
      <c r="E42" s="3">
        <f t="shared" si="31"/>
        <v>1700.21</v>
      </c>
      <c r="F42" s="3">
        <f t="shared" si="31"/>
        <v>96.217999999999989</v>
      </c>
      <c r="G42" s="3">
        <f t="shared" si="31"/>
        <v>38.472000000000001</v>
      </c>
      <c r="H42" s="3">
        <f t="shared" si="31"/>
        <v>149.608</v>
      </c>
      <c r="I42" s="3">
        <f t="shared" si="31"/>
        <v>132.03399999999999</v>
      </c>
      <c r="J42" s="3">
        <f t="shared" si="31"/>
        <v>391.13799999999998</v>
      </c>
      <c r="K42" s="3">
        <f t="shared" si="31"/>
        <v>365.17600000000004</v>
      </c>
      <c r="L42" s="3">
        <f t="shared" si="31"/>
        <v>490.04200000000003</v>
      </c>
      <c r="M42" s="3">
        <f t="shared" si="31"/>
        <v>278.12799999999999</v>
      </c>
      <c r="N42" s="3">
        <f t="shared" si="31"/>
        <v>264.11</v>
      </c>
      <c r="O42" s="3">
        <f t="shared" si="31"/>
        <v>1034.5120000000002</v>
      </c>
      <c r="P42" s="3">
        <f t="shared" si="31"/>
        <v>62.214000000000006</v>
      </c>
      <c r="Q42" s="3">
        <f t="shared" si="31"/>
        <v>453.548</v>
      </c>
      <c r="R42" s="3">
        <f t="shared" si="31"/>
        <v>2904.96</v>
      </c>
      <c r="S42" s="3">
        <f t="shared" si="31"/>
        <v>322.11399999999998</v>
      </c>
    </row>
    <row r="43" spans="1:19" x14ac:dyDescent="0.25">
      <c r="A43">
        <v>2064</v>
      </c>
      <c r="B43" s="3">
        <f>0.2*B39+0.8*B44</f>
        <v>207.77200000000002</v>
      </c>
      <c r="C43" s="3">
        <f t="shared" ref="C43:S43" si="32">0.2*C39+0.8*C44</f>
        <v>47.748000000000005</v>
      </c>
      <c r="D43" s="3">
        <f t="shared" si="32"/>
        <v>1091.308</v>
      </c>
      <c r="E43" s="3">
        <f t="shared" si="32"/>
        <v>1700.0500000000002</v>
      </c>
      <c r="F43" s="3">
        <f t="shared" si="32"/>
        <v>95.463999999999999</v>
      </c>
      <c r="G43" s="3">
        <f t="shared" si="32"/>
        <v>37.916000000000004</v>
      </c>
      <c r="H43" s="3">
        <f t="shared" si="32"/>
        <v>149.50400000000002</v>
      </c>
      <c r="I43" s="3">
        <f t="shared" si="32"/>
        <v>131.69200000000001</v>
      </c>
      <c r="J43" s="3">
        <f t="shared" si="32"/>
        <v>392.01400000000001</v>
      </c>
      <c r="K43" s="3">
        <f t="shared" si="32"/>
        <v>364.94800000000004</v>
      </c>
      <c r="L43" s="3">
        <f t="shared" si="32"/>
        <v>488.096</v>
      </c>
      <c r="M43" s="3">
        <f t="shared" si="32"/>
        <v>277.99400000000003</v>
      </c>
      <c r="N43" s="3">
        <f t="shared" si="32"/>
        <v>263.34000000000003</v>
      </c>
      <c r="O43" s="3">
        <f t="shared" si="32"/>
        <v>1039.7360000000001</v>
      </c>
      <c r="P43" s="3">
        <f t="shared" si="32"/>
        <v>62.552000000000007</v>
      </c>
      <c r="Q43" s="3">
        <f t="shared" si="32"/>
        <v>456.56399999999996</v>
      </c>
      <c r="R43" s="3">
        <f t="shared" si="32"/>
        <v>2938.48</v>
      </c>
      <c r="S43" s="3">
        <f t="shared" si="32"/>
        <v>321.96200000000005</v>
      </c>
    </row>
    <row r="44" spans="1:19" x14ac:dyDescent="0.25">
      <c r="A44">
        <v>2065</v>
      </c>
      <c r="B44" s="3">
        <v>206.85</v>
      </c>
      <c r="C44" s="3">
        <v>47.92</v>
      </c>
      <c r="D44" s="3">
        <v>1077.3</v>
      </c>
      <c r="E44" s="3">
        <v>1699.89</v>
      </c>
      <c r="F44" s="3">
        <v>94.71</v>
      </c>
      <c r="G44" s="3">
        <v>37.36</v>
      </c>
      <c r="H44" s="3">
        <v>149.4</v>
      </c>
      <c r="I44" s="3">
        <v>131.35</v>
      </c>
      <c r="J44" s="3">
        <v>392.89</v>
      </c>
      <c r="K44" s="3">
        <v>364.72</v>
      </c>
      <c r="L44" s="3">
        <v>486.15</v>
      </c>
      <c r="M44" s="3">
        <v>277.86</v>
      </c>
      <c r="N44" s="3">
        <v>262.57</v>
      </c>
      <c r="O44" s="3">
        <v>1044.96</v>
      </c>
      <c r="P44" s="3">
        <v>62.89</v>
      </c>
      <c r="Q44" s="3">
        <v>459.58</v>
      </c>
      <c r="R44" s="3">
        <v>2972</v>
      </c>
      <c r="S44" s="3">
        <v>321.81</v>
      </c>
    </row>
    <row r="45" spans="1:19" x14ac:dyDescent="0.25">
      <c r="A45">
        <v>2066</v>
      </c>
      <c r="B45" s="3">
        <f>0.8*B44+0.2*B49</f>
        <v>205.77400000000003</v>
      </c>
      <c r="C45" s="3">
        <f t="shared" ref="C45:S45" si="33">0.8*C44+0.2*C49</f>
        <v>48.092000000000006</v>
      </c>
      <c r="D45" s="3">
        <f t="shared" si="33"/>
        <v>1063.7740000000001</v>
      </c>
      <c r="E45" s="3">
        <f t="shared" si="33"/>
        <v>1698.0420000000004</v>
      </c>
      <c r="F45" s="3">
        <f t="shared" si="33"/>
        <v>93.962000000000003</v>
      </c>
      <c r="G45" s="3">
        <f t="shared" si="33"/>
        <v>36.83</v>
      </c>
      <c r="H45" s="3">
        <f t="shared" si="33"/>
        <v>149.16400000000002</v>
      </c>
      <c r="I45" s="3">
        <f t="shared" si="33"/>
        <v>131.05000000000001</v>
      </c>
      <c r="J45" s="3">
        <f t="shared" si="33"/>
        <v>393.86</v>
      </c>
      <c r="K45" s="3">
        <f t="shared" si="33"/>
        <v>364.17200000000003</v>
      </c>
      <c r="L45" s="3">
        <f t="shared" si="33"/>
        <v>484.346</v>
      </c>
      <c r="M45" s="3">
        <f t="shared" si="33"/>
        <v>277.58199999999999</v>
      </c>
      <c r="N45" s="3">
        <f t="shared" si="33"/>
        <v>261.654</v>
      </c>
      <c r="O45" s="3">
        <f t="shared" si="33"/>
        <v>1049.3520000000001</v>
      </c>
      <c r="P45" s="3">
        <f t="shared" si="33"/>
        <v>63.220000000000006</v>
      </c>
      <c r="Q45" s="3">
        <f t="shared" si="33"/>
        <v>462.214</v>
      </c>
      <c r="R45" s="3">
        <f t="shared" si="33"/>
        <v>3003.61</v>
      </c>
      <c r="S45" s="3">
        <f t="shared" si="33"/>
        <v>321.49800000000005</v>
      </c>
    </row>
    <row r="46" spans="1:19" x14ac:dyDescent="0.25">
      <c r="A46">
        <v>2067</v>
      </c>
      <c r="B46" s="3">
        <f>0.6*B44+0.4*B49</f>
        <v>204.69799999999998</v>
      </c>
      <c r="C46" s="3">
        <f t="shared" ref="C46:S46" si="34">0.6*C44+0.4*C49</f>
        <v>48.263999999999996</v>
      </c>
      <c r="D46" s="3">
        <f t="shared" si="34"/>
        <v>1050.248</v>
      </c>
      <c r="E46" s="3">
        <f t="shared" si="34"/>
        <v>1696.194</v>
      </c>
      <c r="F46" s="3">
        <f t="shared" si="34"/>
        <v>93.213999999999999</v>
      </c>
      <c r="G46" s="3">
        <f t="shared" si="34"/>
        <v>36.299999999999997</v>
      </c>
      <c r="H46" s="3">
        <f t="shared" si="34"/>
        <v>148.928</v>
      </c>
      <c r="I46" s="3">
        <f t="shared" si="34"/>
        <v>130.75</v>
      </c>
      <c r="J46" s="3">
        <f t="shared" si="34"/>
        <v>394.83</v>
      </c>
      <c r="K46" s="3">
        <f t="shared" si="34"/>
        <v>363.62400000000002</v>
      </c>
      <c r="L46" s="3">
        <f t="shared" si="34"/>
        <v>482.54200000000003</v>
      </c>
      <c r="M46" s="3">
        <f t="shared" si="34"/>
        <v>277.30400000000003</v>
      </c>
      <c r="N46" s="3">
        <f t="shared" si="34"/>
        <v>260.738</v>
      </c>
      <c r="O46" s="3">
        <f t="shared" si="34"/>
        <v>1053.7440000000001</v>
      </c>
      <c r="P46" s="3">
        <f t="shared" si="34"/>
        <v>63.550000000000004</v>
      </c>
      <c r="Q46" s="3">
        <f t="shared" si="34"/>
        <v>464.84800000000001</v>
      </c>
      <c r="R46" s="3">
        <f t="shared" si="34"/>
        <v>3035.2200000000003</v>
      </c>
      <c r="S46" s="3">
        <f t="shared" si="34"/>
        <v>321.18599999999998</v>
      </c>
    </row>
    <row r="47" spans="1:19" x14ac:dyDescent="0.25">
      <c r="A47">
        <v>2068</v>
      </c>
      <c r="B47" s="3">
        <f>0.4*B44+0.6*B49</f>
        <v>203.62200000000001</v>
      </c>
      <c r="C47" s="3">
        <f t="shared" ref="C47:S47" si="35">0.4*C44+0.6*C49</f>
        <v>48.436000000000007</v>
      </c>
      <c r="D47" s="3">
        <f t="shared" si="35"/>
        <v>1036.722</v>
      </c>
      <c r="E47" s="3">
        <f t="shared" si="35"/>
        <v>1694.346</v>
      </c>
      <c r="F47" s="3">
        <f t="shared" si="35"/>
        <v>92.466000000000008</v>
      </c>
      <c r="G47" s="3">
        <f t="shared" si="35"/>
        <v>35.770000000000003</v>
      </c>
      <c r="H47" s="3">
        <f t="shared" si="35"/>
        <v>148.69200000000001</v>
      </c>
      <c r="I47" s="3">
        <f t="shared" si="35"/>
        <v>130.44999999999999</v>
      </c>
      <c r="J47" s="3">
        <f t="shared" si="35"/>
        <v>395.8</v>
      </c>
      <c r="K47" s="3">
        <f t="shared" si="35"/>
        <v>363.07600000000002</v>
      </c>
      <c r="L47" s="3">
        <f t="shared" si="35"/>
        <v>480.73799999999994</v>
      </c>
      <c r="M47" s="3">
        <f t="shared" si="35"/>
        <v>277.02600000000001</v>
      </c>
      <c r="N47" s="3">
        <f t="shared" si="35"/>
        <v>259.822</v>
      </c>
      <c r="O47" s="3">
        <f t="shared" si="35"/>
        <v>1058.136</v>
      </c>
      <c r="P47" s="3">
        <f t="shared" si="35"/>
        <v>63.88000000000001</v>
      </c>
      <c r="Q47" s="3">
        <f t="shared" si="35"/>
        <v>467.48199999999997</v>
      </c>
      <c r="R47" s="3">
        <f t="shared" si="35"/>
        <v>3066.83</v>
      </c>
      <c r="S47" s="3">
        <f t="shared" si="35"/>
        <v>320.87400000000002</v>
      </c>
    </row>
    <row r="48" spans="1:19" x14ac:dyDescent="0.25">
      <c r="A48">
        <v>2069</v>
      </c>
      <c r="B48" s="3">
        <f>0.2*B44+0.8*B49</f>
        <v>202.54600000000002</v>
      </c>
      <c r="C48" s="3">
        <f t="shared" ref="C48:S48" si="36">0.2*C44+0.8*C49</f>
        <v>48.608000000000004</v>
      </c>
      <c r="D48" s="3">
        <f t="shared" si="36"/>
        <v>1023.196</v>
      </c>
      <c r="E48" s="3">
        <f t="shared" si="36"/>
        <v>1692.4980000000003</v>
      </c>
      <c r="F48" s="3">
        <f t="shared" si="36"/>
        <v>91.717999999999989</v>
      </c>
      <c r="G48" s="3">
        <f t="shared" si="36"/>
        <v>35.24</v>
      </c>
      <c r="H48" s="3">
        <f t="shared" si="36"/>
        <v>148.45600000000002</v>
      </c>
      <c r="I48" s="3">
        <f t="shared" si="36"/>
        <v>130.15</v>
      </c>
      <c r="J48" s="3">
        <f t="shared" si="36"/>
        <v>396.77</v>
      </c>
      <c r="K48" s="3">
        <f t="shared" si="36"/>
        <v>362.52800000000002</v>
      </c>
      <c r="L48" s="3">
        <f t="shared" si="36"/>
        <v>478.93400000000003</v>
      </c>
      <c r="M48" s="3">
        <f t="shared" si="36"/>
        <v>276.74800000000005</v>
      </c>
      <c r="N48" s="3">
        <f t="shared" si="36"/>
        <v>258.90600000000001</v>
      </c>
      <c r="O48" s="3">
        <f t="shared" si="36"/>
        <v>1062.528</v>
      </c>
      <c r="P48" s="3">
        <f t="shared" si="36"/>
        <v>64.210000000000008</v>
      </c>
      <c r="Q48" s="3">
        <f t="shared" si="36"/>
        <v>470.11600000000004</v>
      </c>
      <c r="R48" s="3">
        <f t="shared" si="36"/>
        <v>3098.4400000000005</v>
      </c>
      <c r="S48" s="3">
        <f t="shared" si="36"/>
        <v>320.56200000000001</v>
      </c>
    </row>
    <row r="49" spans="1:19" x14ac:dyDescent="0.25">
      <c r="A49">
        <v>2070</v>
      </c>
      <c r="B49" s="3">
        <v>201.47</v>
      </c>
      <c r="C49" s="3">
        <v>48.78</v>
      </c>
      <c r="D49" s="3">
        <v>1009.67</v>
      </c>
      <c r="E49" s="3">
        <v>1690.65</v>
      </c>
      <c r="F49" s="3">
        <v>90.97</v>
      </c>
      <c r="G49" s="3">
        <v>34.71</v>
      </c>
      <c r="H49" s="3">
        <v>148.22</v>
      </c>
      <c r="I49" s="3">
        <v>129.85</v>
      </c>
      <c r="J49" s="3">
        <v>397.74</v>
      </c>
      <c r="K49" s="3">
        <v>361.98</v>
      </c>
      <c r="L49" s="3">
        <v>477.13</v>
      </c>
      <c r="M49" s="3">
        <v>276.47000000000003</v>
      </c>
      <c r="N49" s="3">
        <v>257.99</v>
      </c>
      <c r="O49" s="3">
        <v>1066.92</v>
      </c>
      <c r="P49" s="3">
        <v>64.540000000000006</v>
      </c>
      <c r="Q49" s="3">
        <v>472.75</v>
      </c>
      <c r="R49" s="3">
        <v>3130.05</v>
      </c>
      <c r="S49" s="3">
        <v>320.25</v>
      </c>
    </row>
    <row r="50" spans="1:19" x14ac:dyDescent="0.25">
      <c r="A50">
        <v>2071</v>
      </c>
      <c r="B50" s="3">
        <f>0.8*B49+0.2*B54</f>
        <v>200.27800000000002</v>
      </c>
      <c r="C50" s="3">
        <f t="shared" ref="C50:S50" si="37">0.8*C49+0.2*C54</f>
        <v>48.94</v>
      </c>
      <c r="D50" s="3">
        <f t="shared" si="37"/>
        <v>996.69200000000001</v>
      </c>
      <c r="E50" s="3">
        <f t="shared" si="37"/>
        <v>1687.1360000000002</v>
      </c>
      <c r="F50" s="3">
        <f t="shared" si="37"/>
        <v>90.305999999999997</v>
      </c>
      <c r="G50" s="3">
        <f t="shared" si="37"/>
        <v>34.21</v>
      </c>
      <c r="H50" s="3">
        <f t="shared" si="37"/>
        <v>147.86200000000002</v>
      </c>
      <c r="I50" s="3">
        <f t="shared" si="37"/>
        <v>129.61000000000001</v>
      </c>
      <c r="J50" s="3">
        <f t="shared" si="37"/>
        <v>398.68</v>
      </c>
      <c r="K50" s="3">
        <f t="shared" si="37"/>
        <v>361.13600000000002</v>
      </c>
      <c r="L50" s="3">
        <f t="shared" si="37"/>
        <v>475.52</v>
      </c>
      <c r="M50" s="3">
        <f t="shared" si="37"/>
        <v>276.08200000000005</v>
      </c>
      <c r="N50" s="3">
        <f t="shared" si="37"/>
        <v>256.94000000000005</v>
      </c>
      <c r="O50" s="3">
        <f t="shared" si="37"/>
        <v>1070.3900000000001</v>
      </c>
      <c r="P50" s="3">
        <f t="shared" si="37"/>
        <v>64.846000000000004</v>
      </c>
      <c r="Q50" s="3">
        <f t="shared" si="37"/>
        <v>475.03400000000005</v>
      </c>
      <c r="R50" s="3">
        <f t="shared" si="37"/>
        <v>3159.5000000000005</v>
      </c>
      <c r="S50" s="3">
        <f t="shared" si="37"/>
        <v>319.79199999999997</v>
      </c>
    </row>
    <row r="51" spans="1:19" x14ac:dyDescent="0.25">
      <c r="A51">
        <v>2072</v>
      </c>
      <c r="B51" s="3">
        <f>0.6*B49+0.4*B54</f>
        <v>199.08600000000001</v>
      </c>
      <c r="C51" s="3">
        <f t="shared" ref="C51:S51" si="38">0.6*C49+0.4*C54</f>
        <v>49.1</v>
      </c>
      <c r="D51" s="3">
        <f t="shared" si="38"/>
        <v>983.71399999999994</v>
      </c>
      <c r="E51" s="3">
        <f t="shared" si="38"/>
        <v>1683.6219999999998</v>
      </c>
      <c r="F51" s="3">
        <f t="shared" si="38"/>
        <v>89.641999999999996</v>
      </c>
      <c r="G51" s="3">
        <f t="shared" si="38"/>
        <v>33.71</v>
      </c>
      <c r="H51" s="3">
        <f t="shared" si="38"/>
        <v>147.50400000000002</v>
      </c>
      <c r="I51" s="3">
        <f t="shared" si="38"/>
        <v>129.37</v>
      </c>
      <c r="J51" s="3">
        <f t="shared" si="38"/>
        <v>399.62</v>
      </c>
      <c r="K51" s="3">
        <f t="shared" si="38"/>
        <v>360.29200000000003</v>
      </c>
      <c r="L51" s="3">
        <f t="shared" si="38"/>
        <v>473.90999999999997</v>
      </c>
      <c r="M51" s="3">
        <f t="shared" si="38"/>
        <v>275.69400000000002</v>
      </c>
      <c r="N51" s="3">
        <f t="shared" si="38"/>
        <v>255.89000000000001</v>
      </c>
      <c r="O51" s="3">
        <f t="shared" si="38"/>
        <v>1073.8600000000001</v>
      </c>
      <c r="P51" s="3">
        <f t="shared" si="38"/>
        <v>65.152000000000001</v>
      </c>
      <c r="Q51" s="3">
        <f t="shared" si="38"/>
        <v>477.31799999999998</v>
      </c>
      <c r="R51" s="3">
        <f t="shared" si="38"/>
        <v>3188.95</v>
      </c>
      <c r="S51" s="3">
        <f t="shared" si="38"/>
        <v>319.334</v>
      </c>
    </row>
    <row r="52" spans="1:19" x14ac:dyDescent="0.25">
      <c r="A52">
        <v>2073</v>
      </c>
      <c r="B52" s="3">
        <f>0.4*B49+0.6*B54</f>
        <v>197.89400000000001</v>
      </c>
      <c r="C52" s="3">
        <f t="shared" ref="C52:S52" si="39">0.4*C49+0.6*C54</f>
        <v>49.26</v>
      </c>
      <c r="D52" s="3">
        <f t="shared" si="39"/>
        <v>970.73599999999988</v>
      </c>
      <c r="E52" s="3">
        <f t="shared" si="39"/>
        <v>1680.1080000000002</v>
      </c>
      <c r="F52" s="3">
        <f t="shared" si="39"/>
        <v>88.978000000000009</v>
      </c>
      <c r="G52" s="3">
        <f t="shared" si="39"/>
        <v>33.21</v>
      </c>
      <c r="H52" s="3">
        <f t="shared" si="39"/>
        <v>147.14600000000002</v>
      </c>
      <c r="I52" s="3">
        <f t="shared" si="39"/>
        <v>129.13</v>
      </c>
      <c r="J52" s="3">
        <f t="shared" si="39"/>
        <v>400.56</v>
      </c>
      <c r="K52" s="3">
        <f t="shared" si="39"/>
        <v>359.44799999999998</v>
      </c>
      <c r="L52" s="3">
        <f t="shared" si="39"/>
        <v>472.29999999999995</v>
      </c>
      <c r="M52" s="3">
        <f t="shared" si="39"/>
        <v>275.30600000000004</v>
      </c>
      <c r="N52" s="3">
        <f t="shared" si="39"/>
        <v>254.84000000000003</v>
      </c>
      <c r="O52" s="3">
        <f t="shared" si="39"/>
        <v>1077.33</v>
      </c>
      <c r="P52" s="3">
        <f t="shared" si="39"/>
        <v>65.457999999999998</v>
      </c>
      <c r="Q52" s="3">
        <f t="shared" si="39"/>
        <v>479.60200000000003</v>
      </c>
      <c r="R52" s="3">
        <f t="shared" si="39"/>
        <v>3218.4000000000005</v>
      </c>
      <c r="S52" s="3">
        <f t="shared" si="39"/>
        <v>318.87599999999998</v>
      </c>
    </row>
    <row r="53" spans="1:19" x14ac:dyDescent="0.25">
      <c r="A53">
        <v>2074</v>
      </c>
      <c r="B53" s="3">
        <f>0.2*B49+0.8*B54</f>
        <v>196.70200000000003</v>
      </c>
      <c r="C53" s="3">
        <f t="shared" ref="C53:S53" si="40">0.2*C49+0.8*C54</f>
        <v>49.42</v>
      </c>
      <c r="D53" s="3">
        <f t="shared" si="40"/>
        <v>957.75800000000004</v>
      </c>
      <c r="E53" s="3">
        <f t="shared" si="40"/>
        <v>1676.5940000000001</v>
      </c>
      <c r="F53" s="3">
        <f t="shared" si="40"/>
        <v>88.314000000000007</v>
      </c>
      <c r="G53" s="3">
        <f t="shared" si="40"/>
        <v>32.71</v>
      </c>
      <c r="H53" s="3">
        <f t="shared" si="40"/>
        <v>146.78800000000001</v>
      </c>
      <c r="I53" s="3">
        <f t="shared" si="40"/>
        <v>128.89000000000001</v>
      </c>
      <c r="J53" s="3">
        <f t="shared" si="40"/>
        <v>401.5</v>
      </c>
      <c r="K53" s="3">
        <f t="shared" si="40"/>
        <v>358.60400000000004</v>
      </c>
      <c r="L53" s="3">
        <f t="shared" si="40"/>
        <v>470.69</v>
      </c>
      <c r="M53" s="3">
        <f t="shared" si="40"/>
        <v>274.91800000000001</v>
      </c>
      <c r="N53" s="3">
        <f t="shared" si="40"/>
        <v>253.79000000000002</v>
      </c>
      <c r="O53" s="3">
        <f t="shared" si="40"/>
        <v>1080.8000000000002</v>
      </c>
      <c r="P53" s="3">
        <f t="shared" si="40"/>
        <v>65.763999999999996</v>
      </c>
      <c r="Q53" s="3">
        <f t="shared" si="40"/>
        <v>481.88600000000002</v>
      </c>
      <c r="R53" s="3">
        <f t="shared" si="40"/>
        <v>3247.8500000000004</v>
      </c>
      <c r="S53" s="3">
        <f t="shared" si="40"/>
        <v>318.41800000000001</v>
      </c>
    </row>
    <row r="54" spans="1:19" x14ac:dyDescent="0.25">
      <c r="A54">
        <v>2075</v>
      </c>
      <c r="B54" s="3">
        <v>195.51</v>
      </c>
      <c r="C54" s="3">
        <v>49.58</v>
      </c>
      <c r="D54" s="3">
        <v>944.78</v>
      </c>
      <c r="E54" s="3">
        <v>1673.08</v>
      </c>
      <c r="F54" s="3">
        <v>87.65</v>
      </c>
      <c r="G54" s="3">
        <v>32.21</v>
      </c>
      <c r="H54" s="3">
        <v>146.43</v>
      </c>
      <c r="I54" s="3">
        <v>128.65</v>
      </c>
      <c r="J54" s="3">
        <v>402.44</v>
      </c>
      <c r="K54" s="3">
        <v>357.76</v>
      </c>
      <c r="L54" s="3">
        <v>469.08</v>
      </c>
      <c r="M54" s="3">
        <v>274.52999999999997</v>
      </c>
      <c r="N54" s="3">
        <v>252.74</v>
      </c>
      <c r="O54" s="3">
        <v>1084.27</v>
      </c>
      <c r="P54" s="3">
        <v>66.069999999999993</v>
      </c>
      <c r="Q54" s="3">
        <v>484.17</v>
      </c>
      <c r="R54" s="3">
        <v>3277.3</v>
      </c>
      <c r="S54" s="3">
        <v>317.95999999999998</v>
      </c>
    </row>
    <row r="55" spans="1:19" x14ac:dyDescent="0.25">
      <c r="A55">
        <v>2076</v>
      </c>
      <c r="B55" s="3">
        <f>0.8*B54+0.2*B59</f>
        <v>194.25600000000003</v>
      </c>
      <c r="C55" s="3">
        <f t="shared" ref="C55:S55" si="41">0.8*C54+0.2*C59</f>
        <v>49.738</v>
      </c>
      <c r="D55" s="3">
        <f t="shared" si="41"/>
        <v>931.86400000000003</v>
      </c>
      <c r="E55" s="3">
        <f t="shared" si="41"/>
        <v>1668.1399999999999</v>
      </c>
      <c r="F55" s="3">
        <f t="shared" si="41"/>
        <v>87.114000000000004</v>
      </c>
      <c r="G55" s="3">
        <f t="shared" si="41"/>
        <v>31.746000000000002</v>
      </c>
      <c r="H55" s="3">
        <f t="shared" si="41"/>
        <v>145.958</v>
      </c>
      <c r="I55" s="3">
        <f t="shared" si="41"/>
        <v>128.49800000000002</v>
      </c>
      <c r="J55" s="3">
        <f t="shared" si="41"/>
        <v>403.29399999999998</v>
      </c>
      <c r="K55" s="3">
        <f t="shared" si="41"/>
        <v>356.63400000000001</v>
      </c>
      <c r="L55" s="3">
        <f t="shared" si="41"/>
        <v>467.65600000000001</v>
      </c>
      <c r="M55" s="3">
        <f t="shared" si="41"/>
        <v>274.05799999999999</v>
      </c>
      <c r="N55" s="3">
        <f t="shared" si="41"/>
        <v>251.53200000000001</v>
      </c>
      <c r="O55" s="3">
        <f t="shared" si="41"/>
        <v>1086.7380000000001</v>
      </c>
      <c r="P55" s="3">
        <f t="shared" si="41"/>
        <v>66.361999999999995</v>
      </c>
      <c r="Q55" s="3">
        <f t="shared" si="41"/>
        <v>486.12800000000004</v>
      </c>
      <c r="R55" s="3">
        <f t="shared" si="41"/>
        <v>3304.2540000000004</v>
      </c>
      <c r="S55" s="3">
        <f t="shared" si="41"/>
        <v>317.346</v>
      </c>
    </row>
    <row r="56" spans="1:19" x14ac:dyDescent="0.25">
      <c r="A56">
        <v>2077</v>
      </c>
      <c r="B56" s="3">
        <f>0.6*B54+0.4*B59</f>
        <v>193.00200000000001</v>
      </c>
      <c r="C56" s="3">
        <f t="shared" ref="C56:S56" si="42">0.6*C54+0.4*C59</f>
        <v>49.896000000000001</v>
      </c>
      <c r="D56" s="3">
        <f t="shared" si="42"/>
        <v>918.94799999999998</v>
      </c>
      <c r="E56" s="3">
        <f t="shared" si="42"/>
        <v>1663.2</v>
      </c>
      <c r="F56" s="3">
        <f t="shared" si="42"/>
        <v>86.578000000000003</v>
      </c>
      <c r="G56" s="3">
        <f t="shared" si="42"/>
        <v>31.282000000000004</v>
      </c>
      <c r="H56" s="3">
        <f t="shared" si="42"/>
        <v>145.48599999999999</v>
      </c>
      <c r="I56" s="3">
        <f t="shared" si="42"/>
        <v>128.346</v>
      </c>
      <c r="J56" s="3">
        <f t="shared" si="42"/>
        <v>404.14800000000002</v>
      </c>
      <c r="K56" s="3">
        <f t="shared" si="42"/>
        <v>355.50799999999998</v>
      </c>
      <c r="L56" s="3">
        <f t="shared" si="42"/>
        <v>466.23199999999997</v>
      </c>
      <c r="M56" s="3">
        <f t="shared" si="42"/>
        <v>273.58600000000001</v>
      </c>
      <c r="N56" s="3">
        <f t="shared" si="42"/>
        <v>250.32400000000001</v>
      </c>
      <c r="O56" s="3">
        <f t="shared" si="42"/>
        <v>1089.2060000000001</v>
      </c>
      <c r="P56" s="3">
        <f t="shared" si="42"/>
        <v>66.653999999999996</v>
      </c>
      <c r="Q56" s="3">
        <f t="shared" si="42"/>
        <v>488.08600000000001</v>
      </c>
      <c r="R56" s="3">
        <f t="shared" si="42"/>
        <v>3331.2080000000005</v>
      </c>
      <c r="S56" s="3">
        <f t="shared" si="42"/>
        <v>316.73199999999997</v>
      </c>
    </row>
    <row r="57" spans="1:19" x14ac:dyDescent="0.25">
      <c r="A57">
        <v>2078</v>
      </c>
      <c r="B57" s="3">
        <f>0.4*B54+0.6*B59</f>
        <v>191.74799999999999</v>
      </c>
      <c r="C57" s="3">
        <f t="shared" ref="C57:S57" si="43">0.4*C54+0.6*C59</f>
        <v>50.054000000000002</v>
      </c>
      <c r="D57" s="3">
        <f t="shared" si="43"/>
        <v>906.03200000000004</v>
      </c>
      <c r="E57" s="3">
        <f t="shared" si="43"/>
        <v>1658.26</v>
      </c>
      <c r="F57" s="3">
        <f t="shared" si="43"/>
        <v>86.042000000000002</v>
      </c>
      <c r="G57" s="3">
        <f t="shared" si="43"/>
        <v>30.818000000000001</v>
      </c>
      <c r="H57" s="3">
        <f t="shared" si="43"/>
        <v>145.01400000000001</v>
      </c>
      <c r="I57" s="3">
        <f t="shared" si="43"/>
        <v>128.19400000000002</v>
      </c>
      <c r="J57" s="3">
        <f t="shared" si="43"/>
        <v>405.00199999999995</v>
      </c>
      <c r="K57" s="3">
        <f t="shared" si="43"/>
        <v>354.38200000000001</v>
      </c>
      <c r="L57" s="3">
        <f t="shared" si="43"/>
        <v>464.80799999999999</v>
      </c>
      <c r="M57" s="3">
        <f t="shared" si="43"/>
        <v>273.11399999999998</v>
      </c>
      <c r="N57" s="3">
        <f t="shared" si="43"/>
        <v>249.11599999999999</v>
      </c>
      <c r="O57" s="3">
        <f t="shared" si="43"/>
        <v>1091.674</v>
      </c>
      <c r="P57" s="3">
        <f t="shared" si="43"/>
        <v>66.945999999999998</v>
      </c>
      <c r="Q57" s="3">
        <f t="shared" si="43"/>
        <v>490.04399999999998</v>
      </c>
      <c r="R57" s="3">
        <f t="shared" si="43"/>
        <v>3358.1620000000003</v>
      </c>
      <c r="S57" s="3">
        <f t="shared" si="43"/>
        <v>316.11799999999999</v>
      </c>
    </row>
    <row r="58" spans="1:19" x14ac:dyDescent="0.25">
      <c r="A58">
        <v>2079</v>
      </c>
      <c r="B58" s="3">
        <f>0.2*B54+0.8*B59</f>
        <v>190.49400000000003</v>
      </c>
      <c r="C58" s="3">
        <f t="shared" ref="C58:S58" si="44">0.2*C54+0.8*C59</f>
        <v>50.212000000000003</v>
      </c>
      <c r="D58" s="3">
        <f t="shared" si="44"/>
        <v>893.1160000000001</v>
      </c>
      <c r="E58" s="3">
        <f t="shared" si="44"/>
        <v>1653.3200000000002</v>
      </c>
      <c r="F58" s="3">
        <f t="shared" si="44"/>
        <v>85.506</v>
      </c>
      <c r="G58" s="3">
        <f t="shared" si="44"/>
        <v>30.354000000000003</v>
      </c>
      <c r="H58" s="3">
        <f t="shared" si="44"/>
        <v>144.542</v>
      </c>
      <c r="I58" s="3">
        <f t="shared" si="44"/>
        <v>128.04200000000003</v>
      </c>
      <c r="J58" s="3">
        <f t="shared" si="44"/>
        <v>405.85599999999999</v>
      </c>
      <c r="K58" s="3">
        <f t="shared" si="44"/>
        <v>353.25600000000003</v>
      </c>
      <c r="L58" s="3">
        <f t="shared" si="44"/>
        <v>463.38400000000001</v>
      </c>
      <c r="M58" s="3">
        <f t="shared" si="44"/>
        <v>272.642</v>
      </c>
      <c r="N58" s="3">
        <f t="shared" si="44"/>
        <v>247.90800000000002</v>
      </c>
      <c r="O58" s="3">
        <f t="shared" si="44"/>
        <v>1094.1420000000001</v>
      </c>
      <c r="P58" s="3">
        <f t="shared" si="44"/>
        <v>67.238</v>
      </c>
      <c r="Q58" s="3">
        <f t="shared" si="44"/>
        <v>492.00200000000001</v>
      </c>
      <c r="R58" s="3">
        <f t="shared" si="44"/>
        <v>3385.1160000000004</v>
      </c>
      <c r="S58" s="3">
        <f t="shared" si="44"/>
        <v>315.50400000000002</v>
      </c>
    </row>
    <row r="59" spans="1:19" x14ac:dyDescent="0.25">
      <c r="A59">
        <v>2080</v>
      </c>
      <c r="B59" s="3">
        <v>189.24</v>
      </c>
      <c r="C59" s="3">
        <v>50.37</v>
      </c>
      <c r="D59" s="3">
        <v>880.2</v>
      </c>
      <c r="E59" s="3">
        <v>1648.38</v>
      </c>
      <c r="F59" s="3">
        <v>84.97</v>
      </c>
      <c r="G59" s="3">
        <v>29.89</v>
      </c>
      <c r="H59" s="3">
        <v>144.07</v>
      </c>
      <c r="I59" s="3">
        <v>127.89</v>
      </c>
      <c r="J59" s="3">
        <v>406.71</v>
      </c>
      <c r="K59" s="3">
        <v>352.13</v>
      </c>
      <c r="L59" s="3">
        <v>461.96</v>
      </c>
      <c r="M59" s="3">
        <v>272.17</v>
      </c>
      <c r="N59" s="3">
        <v>246.7</v>
      </c>
      <c r="O59" s="3">
        <v>1096.6099999999999</v>
      </c>
      <c r="P59" s="3">
        <v>67.53</v>
      </c>
      <c r="Q59" s="3">
        <v>493.96</v>
      </c>
      <c r="R59" s="3">
        <v>3412.07</v>
      </c>
      <c r="S59" s="3">
        <v>314.89</v>
      </c>
    </row>
    <row r="60" spans="1:19" x14ac:dyDescent="0.25">
      <c r="A60">
        <v>2081</v>
      </c>
      <c r="B60" s="3">
        <f>0.8*B59+0.2*B64</f>
        <v>187.95600000000002</v>
      </c>
      <c r="C60" s="3">
        <f t="shared" ref="C60:S60" si="45">0.8*C59+0.2*C64</f>
        <v>50.524000000000001</v>
      </c>
      <c r="D60" s="3">
        <f t="shared" si="45"/>
        <v>867.26400000000012</v>
      </c>
      <c r="E60" s="3">
        <f t="shared" si="45"/>
        <v>1642.3320000000003</v>
      </c>
      <c r="F60" s="3">
        <f t="shared" si="45"/>
        <v>84.53</v>
      </c>
      <c r="G60" s="3">
        <f t="shared" si="45"/>
        <v>29.456000000000003</v>
      </c>
      <c r="H60" s="3">
        <f t="shared" si="45"/>
        <v>143.49799999999999</v>
      </c>
      <c r="I60" s="3">
        <f t="shared" si="45"/>
        <v>127.80600000000001</v>
      </c>
      <c r="J60" s="3">
        <f t="shared" si="45"/>
        <v>407.46800000000002</v>
      </c>
      <c r="K60" s="3">
        <f t="shared" si="45"/>
        <v>350.76</v>
      </c>
      <c r="L60" s="3">
        <f t="shared" si="45"/>
        <v>460.68399999999997</v>
      </c>
      <c r="M60" s="3">
        <f t="shared" si="45"/>
        <v>271.62400000000002</v>
      </c>
      <c r="N60" s="3">
        <f t="shared" si="45"/>
        <v>245.35600000000002</v>
      </c>
      <c r="O60" s="3">
        <f t="shared" si="45"/>
        <v>1098.17</v>
      </c>
      <c r="P60" s="3">
        <f t="shared" si="45"/>
        <v>67.808000000000007</v>
      </c>
      <c r="Q60" s="3">
        <f t="shared" si="45"/>
        <v>495.74799999999999</v>
      </c>
      <c r="R60" s="3">
        <f t="shared" si="45"/>
        <v>3436.2120000000004</v>
      </c>
      <c r="S60" s="3">
        <f t="shared" si="45"/>
        <v>314.12799999999999</v>
      </c>
    </row>
    <row r="61" spans="1:19" x14ac:dyDescent="0.25">
      <c r="A61">
        <v>2082</v>
      </c>
      <c r="B61" s="3">
        <f>0.6*B59+0.4*B64</f>
        <v>186.672</v>
      </c>
      <c r="C61" s="3">
        <f t="shared" ref="C61:S61" si="46">0.6*C59+0.4*C64</f>
        <v>50.677999999999997</v>
      </c>
      <c r="D61" s="3">
        <f t="shared" si="46"/>
        <v>854.32799999999997</v>
      </c>
      <c r="E61" s="3">
        <f t="shared" si="46"/>
        <v>1636.2840000000001</v>
      </c>
      <c r="F61" s="3">
        <f t="shared" si="46"/>
        <v>84.09</v>
      </c>
      <c r="G61" s="3">
        <f t="shared" si="46"/>
        <v>29.022000000000002</v>
      </c>
      <c r="H61" s="3">
        <f t="shared" si="46"/>
        <v>142.92599999999999</v>
      </c>
      <c r="I61" s="3">
        <f t="shared" si="46"/>
        <v>127.72199999999999</v>
      </c>
      <c r="J61" s="3">
        <f t="shared" si="46"/>
        <v>408.226</v>
      </c>
      <c r="K61" s="3">
        <f t="shared" si="46"/>
        <v>349.39</v>
      </c>
      <c r="L61" s="3">
        <f t="shared" si="46"/>
        <v>459.40800000000002</v>
      </c>
      <c r="M61" s="3">
        <f t="shared" si="46"/>
        <v>271.07799999999997</v>
      </c>
      <c r="N61" s="3">
        <f t="shared" si="46"/>
        <v>244.012</v>
      </c>
      <c r="O61" s="3">
        <f t="shared" si="46"/>
        <v>1099.73</v>
      </c>
      <c r="P61" s="3">
        <f t="shared" si="46"/>
        <v>68.085999999999999</v>
      </c>
      <c r="Q61" s="3">
        <f t="shared" si="46"/>
        <v>497.53599999999994</v>
      </c>
      <c r="R61" s="3">
        <f t="shared" si="46"/>
        <v>3460.3540000000003</v>
      </c>
      <c r="S61" s="3">
        <f t="shared" si="46"/>
        <v>313.36599999999999</v>
      </c>
    </row>
    <row r="62" spans="1:19" x14ac:dyDescent="0.25">
      <c r="A62">
        <v>2083</v>
      </c>
      <c r="B62" s="3">
        <f>0.4*B59+0.6*B64</f>
        <v>185.38800000000001</v>
      </c>
      <c r="C62" s="3">
        <f t="shared" ref="C62:S62" si="47">0.4*C59+0.6*C64</f>
        <v>50.831999999999994</v>
      </c>
      <c r="D62" s="3">
        <f t="shared" si="47"/>
        <v>841.39200000000005</v>
      </c>
      <c r="E62" s="3">
        <f t="shared" si="47"/>
        <v>1630.2360000000001</v>
      </c>
      <c r="F62" s="3">
        <f t="shared" si="47"/>
        <v>83.65</v>
      </c>
      <c r="G62" s="3">
        <f t="shared" si="47"/>
        <v>28.588000000000001</v>
      </c>
      <c r="H62" s="3">
        <f t="shared" si="47"/>
        <v>142.35399999999998</v>
      </c>
      <c r="I62" s="3">
        <f t="shared" si="47"/>
        <v>127.63800000000001</v>
      </c>
      <c r="J62" s="3">
        <f t="shared" si="47"/>
        <v>408.98399999999998</v>
      </c>
      <c r="K62" s="3">
        <f t="shared" si="47"/>
        <v>348.02</v>
      </c>
      <c r="L62" s="3">
        <f t="shared" si="47"/>
        <v>458.13199999999995</v>
      </c>
      <c r="M62" s="3">
        <f t="shared" si="47"/>
        <v>270.53199999999998</v>
      </c>
      <c r="N62" s="3">
        <f t="shared" si="47"/>
        <v>242.66800000000001</v>
      </c>
      <c r="O62" s="3">
        <f t="shared" si="47"/>
        <v>1101.29</v>
      </c>
      <c r="P62" s="3">
        <f t="shared" si="47"/>
        <v>68.364000000000004</v>
      </c>
      <c r="Q62" s="3">
        <f t="shared" si="47"/>
        <v>499.32399999999996</v>
      </c>
      <c r="R62" s="3">
        <f t="shared" si="47"/>
        <v>3484.4960000000001</v>
      </c>
      <c r="S62" s="3">
        <f t="shared" si="47"/>
        <v>312.60399999999998</v>
      </c>
    </row>
    <row r="63" spans="1:19" x14ac:dyDescent="0.25">
      <c r="A63">
        <v>2084</v>
      </c>
      <c r="B63" s="3">
        <f>0.2*B59+0.8*B64</f>
        <v>184.10400000000001</v>
      </c>
      <c r="C63" s="3">
        <f t="shared" ref="C63:S63" si="48">0.2*C59+0.8*C64</f>
        <v>50.986000000000004</v>
      </c>
      <c r="D63" s="3">
        <f t="shared" si="48"/>
        <v>828.45600000000013</v>
      </c>
      <c r="E63" s="3">
        <f t="shared" si="48"/>
        <v>1624.1880000000001</v>
      </c>
      <c r="F63" s="3">
        <f t="shared" si="48"/>
        <v>83.21</v>
      </c>
      <c r="G63" s="3">
        <f t="shared" si="48"/>
        <v>28.154000000000003</v>
      </c>
      <c r="H63" s="3">
        <f t="shared" si="48"/>
        <v>141.78200000000001</v>
      </c>
      <c r="I63" s="3">
        <f t="shared" si="48"/>
        <v>127.554</v>
      </c>
      <c r="J63" s="3">
        <f t="shared" si="48"/>
        <v>409.74200000000002</v>
      </c>
      <c r="K63" s="3">
        <f t="shared" si="48"/>
        <v>346.65</v>
      </c>
      <c r="L63" s="3">
        <f t="shared" si="48"/>
        <v>456.85599999999999</v>
      </c>
      <c r="M63" s="3">
        <f t="shared" si="48"/>
        <v>269.98600000000005</v>
      </c>
      <c r="N63" s="3">
        <f t="shared" si="48"/>
        <v>241.32400000000001</v>
      </c>
      <c r="O63" s="3">
        <f t="shared" si="48"/>
        <v>1102.8500000000001</v>
      </c>
      <c r="P63" s="3">
        <f t="shared" si="48"/>
        <v>68.641999999999996</v>
      </c>
      <c r="Q63" s="3">
        <f t="shared" si="48"/>
        <v>501.11199999999997</v>
      </c>
      <c r="R63" s="3">
        <f t="shared" si="48"/>
        <v>3508.6380000000004</v>
      </c>
      <c r="S63" s="3">
        <f t="shared" si="48"/>
        <v>311.84199999999998</v>
      </c>
    </row>
    <row r="64" spans="1:19" x14ac:dyDescent="0.25">
      <c r="A64">
        <v>2085</v>
      </c>
      <c r="B64" s="3">
        <v>182.82</v>
      </c>
      <c r="C64" s="3">
        <v>51.14</v>
      </c>
      <c r="D64" s="3">
        <v>815.52</v>
      </c>
      <c r="E64" s="3">
        <v>1618.14</v>
      </c>
      <c r="F64" s="3">
        <v>82.77</v>
      </c>
      <c r="G64" s="3">
        <v>27.72</v>
      </c>
      <c r="H64" s="3">
        <v>141.21</v>
      </c>
      <c r="I64" s="3">
        <v>127.47</v>
      </c>
      <c r="J64" s="3">
        <v>410.5</v>
      </c>
      <c r="K64" s="3">
        <v>345.28</v>
      </c>
      <c r="L64" s="3">
        <v>455.58</v>
      </c>
      <c r="M64" s="3">
        <v>269.44</v>
      </c>
      <c r="N64" s="3">
        <v>239.98</v>
      </c>
      <c r="O64" s="3">
        <v>1104.4100000000001</v>
      </c>
      <c r="P64" s="3">
        <v>68.92</v>
      </c>
      <c r="Q64" s="3">
        <v>502.9</v>
      </c>
      <c r="R64" s="3">
        <v>3532.78</v>
      </c>
      <c r="S64" s="3">
        <v>311.08</v>
      </c>
    </row>
    <row r="65" spans="1:19" x14ac:dyDescent="0.25">
      <c r="A65">
        <v>2086</v>
      </c>
      <c r="B65" s="3">
        <f>0.8*B64+0.2*B69</f>
        <v>181.54</v>
      </c>
      <c r="C65" s="3">
        <f t="shared" ref="C65:S65" si="49">0.8*C64+0.2*C69</f>
        <v>51.290000000000006</v>
      </c>
      <c r="D65" s="3">
        <f t="shared" si="49"/>
        <v>803.12000000000012</v>
      </c>
      <c r="E65" s="3">
        <f t="shared" si="49"/>
        <v>1611.2940000000003</v>
      </c>
      <c r="F65" s="3">
        <f t="shared" si="49"/>
        <v>82.38</v>
      </c>
      <c r="G65" s="3">
        <f t="shared" si="49"/>
        <v>27.306000000000001</v>
      </c>
      <c r="H65" s="3">
        <f t="shared" si="49"/>
        <v>140.55600000000001</v>
      </c>
      <c r="I65" s="3">
        <f t="shared" si="49"/>
        <v>127.41</v>
      </c>
      <c r="J65" s="3">
        <f t="shared" si="49"/>
        <v>411.22</v>
      </c>
      <c r="K65" s="3">
        <f t="shared" si="49"/>
        <v>343.714</v>
      </c>
      <c r="L65" s="3">
        <f t="shared" si="49"/>
        <v>454.39</v>
      </c>
      <c r="M65" s="3">
        <f t="shared" si="49"/>
        <v>268.82000000000005</v>
      </c>
      <c r="N65" s="3">
        <f t="shared" si="49"/>
        <v>238.55600000000001</v>
      </c>
      <c r="O65" s="3">
        <f t="shared" si="49"/>
        <v>1105.1640000000002</v>
      </c>
      <c r="P65" s="3">
        <f t="shared" si="49"/>
        <v>69.192000000000007</v>
      </c>
      <c r="Q65" s="3">
        <f t="shared" si="49"/>
        <v>504.47800000000001</v>
      </c>
      <c r="R65" s="3">
        <f t="shared" si="49"/>
        <v>3554.0820000000003</v>
      </c>
      <c r="S65" s="3">
        <f t="shared" si="49"/>
        <v>310.18400000000003</v>
      </c>
    </row>
    <row r="66" spans="1:19" x14ac:dyDescent="0.25">
      <c r="A66">
        <v>2087</v>
      </c>
      <c r="B66" s="3">
        <f>0.6*B64+0.4*B69</f>
        <v>180.26</v>
      </c>
      <c r="C66" s="3">
        <f t="shared" ref="C66:S66" si="50">0.6*C64+0.4*C69</f>
        <v>51.44</v>
      </c>
      <c r="D66" s="3">
        <f t="shared" si="50"/>
        <v>790.72</v>
      </c>
      <c r="E66" s="3">
        <f t="shared" si="50"/>
        <v>1604.4480000000001</v>
      </c>
      <c r="F66" s="3">
        <f t="shared" si="50"/>
        <v>81.99</v>
      </c>
      <c r="G66" s="3">
        <f t="shared" si="50"/>
        <v>26.891999999999996</v>
      </c>
      <c r="H66" s="3">
        <f t="shared" si="50"/>
        <v>139.90199999999999</v>
      </c>
      <c r="I66" s="3">
        <f t="shared" si="50"/>
        <v>127.35</v>
      </c>
      <c r="J66" s="3">
        <f t="shared" si="50"/>
        <v>411.94</v>
      </c>
      <c r="K66" s="3">
        <f t="shared" si="50"/>
        <v>342.14799999999997</v>
      </c>
      <c r="L66" s="3">
        <f t="shared" si="50"/>
        <v>453.19999999999993</v>
      </c>
      <c r="M66" s="3">
        <f t="shared" si="50"/>
        <v>268.2</v>
      </c>
      <c r="N66" s="3">
        <f t="shared" si="50"/>
        <v>237.13200000000001</v>
      </c>
      <c r="O66" s="3">
        <f t="shared" si="50"/>
        <v>1105.9180000000001</v>
      </c>
      <c r="P66" s="3">
        <f t="shared" si="50"/>
        <v>69.463999999999999</v>
      </c>
      <c r="Q66" s="3">
        <f t="shared" si="50"/>
        <v>506.05599999999998</v>
      </c>
      <c r="R66" s="3">
        <f t="shared" si="50"/>
        <v>3575.384</v>
      </c>
      <c r="S66" s="3">
        <f t="shared" si="50"/>
        <v>309.28800000000001</v>
      </c>
    </row>
    <row r="67" spans="1:19" x14ac:dyDescent="0.25">
      <c r="A67">
        <v>2088</v>
      </c>
      <c r="B67" s="3">
        <f>0.4*B64+0.6*B69</f>
        <v>178.98</v>
      </c>
      <c r="C67" s="3">
        <f t="shared" ref="C67:S67" si="51">0.4*C64+0.6*C69</f>
        <v>51.59</v>
      </c>
      <c r="D67" s="3">
        <f t="shared" si="51"/>
        <v>778.31999999999994</v>
      </c>
      <c r="E67" s="3">
        <f t="shared" si="51"/>
        <v>1597.6020000000001</v>
      </c>
      <c r="F67" s="3">
        <f t="shared" si="51"/>
        <v>81.599999999999994</v>
      </c>
      <c r="G67" s="3">
        <f t="shared" si="51"/>
        <v>26.478000000000002</v>
      </c>
      <c r="H67" s="3">
        <f t="shared" si="51"/>
        <v>139.24799999999999</v>
      </c>
      <c r="I67" s="3">
        <f t="shared" si="51"/>
        <v>127.28999999999999</v>
      </c>
      <c r="J67" s="3">
        <f t="shared" si="51"/>
        <v>412.66</v>
      </c>
      <c r="K67" s="3">
        <f t="shared" si="51"/>
        <v>340.58199999999999</v>
      </c>
      <c r="L67" s="3">
        <f t="shared" si="51"/>
        <v>452.01</v>
      </c>
      <c r="M67" s="3">
        <f t="shared" si="51"/>
        <v>267.58</v>
      </c>
      <c r="N67" s="3">
        <f t="shared" si="51"/>
        <v>235.70800000000003</v>
      </c>
      <c r="O67" s="3">
        <f t="shared" si="51"/>
        <v>1106.672</v>
      </c>
      <c r="P67" s="3">
        <f t="shared" si="51"/>
        <v>69.736000000000004</v>
      </c>
      <c r="Q67" s="3">
        <f t="shared" si="51"/>
        <v>507.63400000000001</v>
      </c>
      <c r="R67" s="3">
        <f t="shared" si="51"/>
        <v>3596.6860000000001</v>
      </c>
      <c r="S67" s="3">
        <f t="shared" si="51"/>
        <v>308.392</v>
      </c>
    </row>
    <row r="68" spans="1:19" x14ac:dyDescent="0.25">
      <c r="A68">
        <v>2089</v>
      </c>
      <c r="B68" s="3">
        <f>0.2*B64+0.8*B69</f>
        <v>177.7</v>
      </c>
      <c r="C68" s="3">
        <f t="shared" ref="C68:S68" si="52">0.2*C64+0.8*C69</f>
        <v>51.74</v>
      </c>
      <c r="D68" s="3">
        <f t="shared" si="52"/>
        <v>765.92000000000007</v>
      </c>
      <c r="E68" s="3">
        <f t="shared" si="52"/>
        <v>1590.7560000000003</v>
      </c>
      <c r="F68" s="3">
        <f t="shared" si="52"/>
        <v>81.209999999999994</v>
      </c>
      <c r="G68" s="3">
        <f t="shared" si="52"/>
        <v>26.064</v>
      </c>
      <c r="H68" s="3">
        <f t="shared" si="52"/>
        <v>138.59399999999999</v>
      </c>
      <c r="I68" s="3">
        <f t="shared" si="52"/>
        <v>127.23</v>
      </c>
      <c r="J68" s="3">
        <f t="shared" si="52"/>
        <v>413.38000000000005</v>
      </c>
      <c r="K68" s="3">
        <f t="shared" si="52"/>
        <v>339.01599999999996</v>
      </c>
      <c r="L68" s="3">
        <f t="shared" si="52"/>
        <v>450.82</v>
      </c>
      <c r="M68" s="3">
        <f t="shared" si="52"/>
        <v>266.96000000000004</v>
      </c>
      <c r="N68" s="3">
        <f t="shared" si="52"/>
        <v>234.28400000000002</v>
      </c>
      <c r="O68" s="3">
        <f t="shared" si="52"/>
        <v>1107.4260000000002</v>
      </c>
      <c r="P68" s="3">
        <f t="shared" si="52"/>
        <v>70.00800000000001</v>
      </c>
      <c r="Q68" s="3">
        <f t="shared" si="52"/>
        <v>509.21200000000005</v>
      </c>
      <c r="R68" s="3">
        <f t="shared" si="52"/>
        <v>3617.9880000000003</v>
      </c>
      <c r="S68" s="3">
        <f t="shared" si="52"/>
        <v>307.49600000000004</v>
      </c>
    </row>
    <row r="69" spans="1:19" x14ac:dyDescent="0.25">
      <c r="A69">
        <v>2090</v>
      </c>
      <c r="B69" s="3">
        <v>176.42</v>
      </c>
      <c r="C69" s="3">
        <v>51.89</v>
      </c>
      <c r="D69" s="3">
        <v>753.52</v>
      </c>
      <c r="E69" s="3">
        <v>1583.91</v>
      </c>
      <c r="F69" s="3">
        <v>80.819999999999993</v>
      </c>
      <c r="G69" s="3">
        <v>25.65</v>
      </c>
      <c r="H69" s="3">
        <v>137.94</v>
      </c>
      <c r="I69" s="3">
        <v>127.17</v>
      </c>
      <c r="J69" s="3">
        <v>414.1</v>
      </c>
      <c r="K69" s="3">
        <v>337.45</v>
      </c>
      <c r="L69" s="3">
        <v>449.63</v>
      </c>
      <c r="M69" s="3">
        <v>266.33999999999997</v>
      </c>
      <c r="N69" s="3">
        <v>232.86</v>
      </c>
      <c r="O69" s="3">
        <v>1108.18</v>
      </c>
      <c r="P69" s="3">
        <v>70.28</v>
      </c>
      <c r="Q69" s="3">
        <v>510.79</v>
      </c>
      <c r="R69" s="3">
        <v>3639.29</v>
      </c>
      <c r="S69" s="3">
        <v>306.60000000000002</v>
      </c>
    </row>
    <row r="70" spans="1:19" x14ac:dyDescent="0.25">
      <c r="A70">
        <v>2091</v>
      </c>
      <c r="B70" s="3">
        <f>0.8*B69+0.2*B74</f>
        <v>175.15800000000002</v>
      </c>
      <c r="C70" s="3">
        <f t="shared" ref="C70:S70" si="53">0.8*C69+0.2*C74</f>
        <v>52.042000000000002</v>
      </c>
      <c r="D70" s="3">
        <f t="shared" si="53"/>
        <v>741.95</v>
      </c>
      <c r="E70" s="3">
        <f t="shared" si="53"/>
        <v>1576.5560000000003</v>
      </c>
      <c r="F70" s="3">
        <f t="shared" si="53"/>
        <v>80.443999999999988</v>
      </c>
      <c r="G70" s="3">
        <f t="shared" si="53"/>
        <v>25.263999999999999</v>
      </c>
      <c r="H70" s="3">
        <f t="shared" si="53"/>
        <v>137.22800000000001</v>
      </c>
      <c r="I70" s="3">
        <f t="shared" si="53"/>
        <v>127.11200000000001</v>
      </c>
      <c r="J70" s="3">
        <f t="shared" si="53"/>
        <v>414.83200000000005</v>
      </c>
      <c r="K70" s="3">
        <f t="shared" si="53"/>
        <v>335.76799999999997</v>
      </c>
      <c r="L70" s="3">
        <f t="shared" si="53"/>
        <v>448.50400000000002</v>
      </c>
      <c r="M70" s="3">
        <f t="shared" si="53"/>
        <v>265.65199999999999</v>
      </c>
      <c r="N70" s="3">
        <f t="shared" si="53"/>
        <v>231.42400000000001</v>
      </c>
      <c r="O70" s="3">
        <f t="shared" si="53"/>
        <v>1108.2840000000001</v>
      </c>
      <c r="P70" s="3">
        <f t="shared" si="53"/>
        <v>70.548000000000002</v>
      </c>
      <c r="Q70" s="3">
        <f t="shared" si="53"/>
        <v>512.13600000000008</v>
      </c>
      <c r="R70" s="3">
        <f t="shared" si="53"/>
        <v>3657.5220000000004</v>
      </c>
      <c r="S70" s="3">
        <f t="shared" si="53"/>
        <v>305.58600000000001</v>
      </c>
    </row>
    <row r="71" spans="1:19" x14ac:dyDescent="0.25">
      <c r="A71">
        <v>2092</v>
      </c>
      <c r="B71" s="3">
        <f>0.6*B69+0.4*B74</f>
        <v>173.89600000000002</v>
      </c>
      <c r="C71" s="3">
        <f t="shared" ref="C71:S71" si="54">0.6*C69+0.4*C74</f>
        <v>52.194000000000003</v>
      </c>
      <c r="D71" s="3">
        <f t="shared" si="54"/>
        <v>730.37999999999988</v>
      </c>
      <c r="E71" s="3">
        <f t="shared" si="54"/>
        <v>1569.2020000000002</v>
      </c>
      <c r="F71" s="3">
        <f t="shared" si="54"/>
        <v>80.067999999999998</v>
      </c>
      <c r="G71" s="3">
        <f t="shared" si="54"/>
        <v>24.878</v>
      </c>
      <c r="H71" s="3">
        <f t="shared" si="54"/>
        <v>136.51599999999999</v>
      </c>
      <c r="I71" s="3">
        <f t="shared" si="54"/>
        <v>127.054</v>
      </c>
      <c r="J71" s="3">
        <f t="shared" si="54"/>
        <v>415.56400000000002</v>
      </c>
      <c r="K71" s="3">
        <f t="shared" si="54"/>
        <v>334.08600000000001</v>
      </c>
      <c r="L71" s="3">
        <f t="shared" si="54"/>
        <v>447.37799999999999</v>
      </c>
      <c r="M71" s="3">
        <f t="shared" si="54"/>
        <v>264.96399999999994</v>
      </c>
      <c r="N71" s="3">
        <f t="shared" si="54"/>
        <v>229.988</v>
      </c>
      <c r="O71" s="3">
        <f t="shared" si="54"/>
        <v>1108.3879999999999</v>
      </c>
      <c r="P71" s="3">
        <f t="shared" si="54"/>
        <v>70.816000000000003</v>
      </c>
      <c r="Q71" s="3">
        <f t="shared" si="54"/>
        <v>513.48199999999997</v>
      </c>
      <c r="R71" s="3">
        <f t="shared" si="54"/>
        <v>3675.7539999999999</v>
      </c>
      <c r="S71" s="3">
        <f t="shared" si="54"/>
        <v>304.572</v>
      </c>
    </row>
    <row r="72" spans="1:19" x14ac:dyDescent="0.25">
      <c r="A72">
        <v>2093</v>
      </c>
      <c r="B72" s="3">
        <f>0.4*B69+0.6*B74</f>
        <v>172.63400000000001</v>
      </c>
      <c r="C72" s="3">
        <f t="shared" ref="C72:S72" si="55">0.4*C69+0.6*C74</f>
        <v>52.345999999999997</v>
      </c>
      <c r="D72" s="3">
        <f t="shared" si="55"/>
        <v>718.81</v>
      </c>
      <c r="E72" s="3">
        <f t="shared" si="55"/>
        <v>1561.848</v>
      </c>
      <c r="F72" s="3">
        <f t="shared" si="55"/>
        <v>79.691999999999993</v>
      </c>
      <c r="G72" s="3">
        <f t="shared" si="55"/>
        <v>24.491999999999997</v>
      </c>
      <c r="H72" s="3">
        <f t="shared" si="55"/>
        <v>135.804</v>
      </c>
      <c r="I72" s="3">
        <f t="shared" si="55"/>
        <v>126.99600000000001</v>
      </c>
      <c r="J72" s="3">
        <f t="shared" si="55"/>
        <v>416.29599999999999</v>
      </c>
      <c r="K72" s="3">
        <f t="shared" si="55"/>
        <v>332.404</v>
      </c>
      <c r="L72" s="3">
        <f t="shared" si="55"/>
        <v>446.25199999999995</v>
      </c>
      <c r="M72" s="3">
        <f t="shared" si="55"/>
        <v>264.27599999999995</v>
      </c>
      <c r="N72" s="3">
        <f t="shared" si="55"/>
        <v>228.55199999999999</v>
      </c>
      <c r="O72" s="3">
        <f t="shared" si="55"/>
        <v>1108.4920000000002</v>
      </c>
      <c r="P72" s="3">
        <f t="shared" si="55"/>
        <v>71.084000000000003</v>
      </c>
      <c r="Q72" s="3">
        <f t="shared" si="55"/>
        <v>514.82799999999997</v>
      </c>
      <c r="R72" s="3">
        <f t="shared" si="55"/>
        <v>3693.9859999999999</v>
      </c>
      <c r="S72" s="3">
        <f t="shared" si="55"/>
        <v>303.55799999999999</v>
      </c>
    </row>
    <row r="73" spans="1:19" x14ac:dyDescent="0.25">
      <c r="A73">
        <v>2094</v>
      </c>
      <c r="B73" s="3">
        <f>0.2*B69+0.8*B74</f>
        <v>171.37200000000001</v>
      </c>
      <c r="C73" s="3">
        <f t="shared" ref="C73:S73" si="56">0.2*C69+0.8*C74</f>
        <v>52.498000000000005</v>
      </c>
      <c r="D73" s="3">
        <f t="shared" si="56"/>
        <v>707.24</v>
      </c>
      <c r="E73" s="3">
        <f t="shared" si="56"/>
        <v>1554.4940000000001</v>
      </c>
      <c r="F73" s="3">
        <f t="shared" si="56"/>
        <v>79.316000000000003</v>
      </c>
      <c r="G73" s="3">
        <f t="shared" si="56"/>
        <v>24.105999999999998</v>
      </c>
      <c r="H73" s="3">
        <f t="shared" si="56"/>
        <v>135.09200000000001</v>
      </c>
      <c r="I73" s="3">
        <f t="shared" si="56"/>
        <v>126.938</v>
      </c>
      <c r="J73" s="3">
        <f t="shared" si="56"/>
        <v>417.02800000000002</v>
      </c>
      <c r="K73" s="3">
        <f t="shared" si="56"/>
        <v>330.72200000000004</v>
      </c>
      <c r="L73" s="3">
        <f t="shared" si="56"/>
        <v>445.12600000000003</v>
      </c>
      <c r="M73" s="3">
        <f t="shared" si="56"/>
        <v>263.58799999999997</v>
      </c>
      <c r="N73" s="3">
        <f t="shared" si="56"/>
        <v>227.11600000000001</v>
      </c>
      <c r="O73" s="3">
        <f t="shared" si="56"/>
        <v>1108.596</v>
      </c>
      <c r="P73" s="3">
        <f t="shared" si="56"/>
        <v>71.352000000000004</v>
      </c>
      <c r="Q73" s="3">
        <f t="shared" si="56"/>
        <v>516.17399999999998</v>
      </c>
      <c r="R73" s="3">
        <f t="shared" si="56"/>
        <v>3712.2180000000003</v>
      </c>
      <c r="S73" s="3">
        <f t="shared" si="56"/>
        <v>302.54399999999998</v>
      </c>
    </row>
    <row r="74" spans="1:19" x14ac:dyDescent="0.25">
      <c r="A74">
        <v>2095</v>
      </c>
      <c r="B74" s="3">
        <v>170.11</v>
      </c>
      <c r="C74" s="3">
        <v>52.65</v>
      </c>
      <c r="D74" s="3">
        <v>695.67</v>
      </c>
      <c r="E74" s="3">
        <v>1547.14</v>
      </c>
      <c r="F74" s="3">
        <v>78.94</v>
      </c>
      <c r="G74" s="3">
        <v>23.72</v>
      </c>
      <c r="H74" s="3">
        <v>134.38</v>
      </c>
      <c r="I74" s="3">
        <v>126.88</v>
      </c>
      <c r="J74" s="3">
        <v>417.76</v>
      </c>
      <c r="K74" s="3">
        <v>329.04</v>
      </c>
      <c r="L74" s="3">
        <v>444</v>
      </c>
      <c r="M74" s="3">
        <v>262.89999999999998</v>
      </c>
      <c r="N74" s="3">
        <v>225.68</v>
      </c>
      <c r="O74" s="3">
        <v>1108.7</v>
      </c>
      <c r="P74" s="3">
        <v>71.62</v>
      </c>
      <c r="Q74" s="3">
        <v>517.52</v>
      </c>
      <c r="R74" s="3">
        <v>3730.45</v>
      </c>
      <c r="S74" s="3">
        <v>301.52999999999997</v>
      </c>
    </row>
    <row r="75" spans="1:19" x14ac:dyDescent="0.25">
      <c r="A75">
        <v>2096</v>
      </c>
      <c r="B75" s="3">
        <f>0.8*B74+0.2*B79</f>
        <v>168.88200000000003</v>
      </c>
      <c r="C75" s="3">
        <f t="shared" ref="C75:S75" si="57">0.8*C74+0.2*C79</f>
        <v>52.824000000000005</v>
      </c>
      <c r="D75" s="3">
        <f t="shared" si="57"/>
        <v>684.69399999999996</v>
      </c>
      <c r="E75" s="3">
        <f t="shared" si="57"/>
        <v>1539.5340000000001</v>
      </c>
      <c r="F75" s="3">
        <f t="shared" si="57"/>
        <v>78.56</v>
      </c>
      <c r="G75" s="3">
        <f t="shared" si="57"/>
        <v>23.378</v>
      </c>
      <c r="H75" s="3">
        <f t="shared" si="57"/>
        <v>133.63</v>
      </c>
      <c r="I75" s="3">
        <f t="shared" si="57"/>
        <v>126.792</v>
      </c>
      <c r="J75" s="3">
        <f t="shared" si="57"/>
        <v>418.41</v>
      </c>
      <c r="K75" s="3">
        <f t="shared" si="57"/>
        <v>327.298</v>
      </c>
      <c r="L75" s="3">
        <f t="shared" si="57"/>
        <v>442.83600000000007</v>
      </c>
      <c r="M75" s="3">
        <f t="shared" si="57"/>
        <v>262.14</v>
      </c>
      <c r="N75" s="3">
        <f t="shared" si="57"/>
        <v>224.27800000000002</v>
      </c>
      <c r="O75" s="3">
        <f t="shared" si="57"/>
        <v>1108.098</v>
      </c>
      <c r="P75" s="3">
        <f t="shared" si="57"/>
        <v>71.862000000000009</v>
      </c>
      <c r="Q75" s="3">
        <f t="shared" si="57"/>
        <v>518.59799999999996</v>
      </c>
      <c r="R75" s="3">
        <f t="shared" si="57"/>
        <v>3745.768</v>
      </c>
      <c r="S75" s="3">
        <f t="shared" si="57"/>
        <v>300.43799999999999</v>
      </c>
    </row>
    <row r="76" spans="1:19" x14ac:dyDescent="0.25">
      <c r="A76">
        <v>2097</v>
      </c>
      <c r="B76" s="3">
        <f>0.6*B74+0.4*B79</f>
        <v>167.654</v>
      </c>
      <c r="C76" s="3">
        <f t="shared" ref="C76:S76" si="58">0.6*C74+0.4*C79</f>
        <v>52.997999999999998</v>
      </c>
      <c r="D76" s="3">
        <f t="shared" si="58"/>
        <v>673.71799999999996</v>
      </c>
      <c r="E76" s="3">
        <f t="shared" si="58"/>
        <v>1531.9279999999999</v>
      </c>
      <c r="F76" s="3">
        <f t="shared" si="58"/>
        <v>78.180000000000007</v>
      </c>
      <c r="G76" s="3">
        <f t="shared" si="58"/>
        <v>23.036000000000001</v>
      </c>
      <c r="H76" s="3">
        <f t="shared" si="58"/>
        <v>132.88</v>
      </c>
      <c r="I76" s="3">
        <f t="shared" si="58"/>
        <v>126.70400000000001</v>
      </c>
      <c r="J76" s="3">
        <f t="shared" si="58"/>
        <v>419.05999999999995</v>
      </c>
      <c r="K76" s="3">
        <f t="shared" si="58"/>
        <v>325.55600000000004</v>
      </c>
      <c r="L76" s="3">
        <f t="shared" si="58"/>
        <v>441.67200000000003</v>
      </c>
      <c r="M76" s="3">
        <f t="shared" si="58"/>
        <v>261.38</v>
      </c>
      <c r="N76" s="3">
        <f t="shared" si="58"/>
        <v>222.87599999999998</v>
      </c>
      <c r="O76" s="3">
        <f t="shared" si="58"/>
        <v>1107.4960000000001</v>
      </c>
      <c r="P76" s="3">
        <f t="shared" si="58"/>
        <v>72.103999999999999</v>
      </c>
      <c r="Q76" s="3">
        <f t="shared" si="58"/>
        <v>519.67599999999993</v>
      </c>
      <c r="R76" s="3">
        <f t="shared" si="58"/>
        <v>3761.0860000000002</v>
      </c>
      <c r="S76" s="3">
        <f t="shared" si="58"/>
        <v>299.346</v>
      </c>
    </row>
    <row r="77" spans="1:19" x14ac:dyDescent="0.25">
      <c r="A77">
        <v>2098</v>
      </c>
      <c r="B77" s="3">
        <f>0.4*B74+0.6*B79</f>
        <v>166.42599999999999</v>
      </c>
      <c r="C77" s="3">
        <f t="shared" ref="C77:S77" si="59">0.4*C74+0.6*C79</f>
        <v>53.172000000000004</v>
      </c>
      <c r="D77" s="3">
        <f t="shared" si="59"/>
        <v>662.74199999999996</v>
      </c>
      <c r="E77" s="3">
        <f t="shared" si="59"/>
        <v>1524.3220000000001</v>
      </c>
      <c r="F77" s="3">
        <f t="shared" si="59"/>
        <v>77.800000000000011</v>
      </c>
      <c r="G77" s="3">
        <f t="shared" si="59"/>
        <v>22.694000000000003</v>
      </c>
      <c r="H77" s="3">
        <f t="shared" si="59"/>
        <v>132.13</v>
      </c>
      <c r="I77" s="3">
        <f t="shared" si="59"/>
        <v>126.61599999999999</v>
      </c>
      <c r="J77" s="3">
        <f t="shared" si="59"/>
        <v>419.71000000000004</v>
      </c>
      <c r="K77" s="3">
        <f t="shared" si="59"/>
        <v>323.81399999999996</v>
      </c>
      <c r="L77" s="3">
        <f t="shared" si="59"/>
        <v>440.50800000000004</v>
      </c>
      <c r="M77" s="3">
        <f t="shared" si="59"/>
        <v>260.62</v>
      </c>
      <c r="N77" s="3">
        <f t="shared" si="59"/>
        <v>221.47399999999999</v>
      </c>
      <c r="O77" s="3">
        <f t="shared" si="59"/>
        <v>1106.894</v>
      </c>
      <c r="P77" s="3">
        <f t="shared" si="59"/>
        <v>72.346000000000004</v>
      </c>
      <c r="Q77" s="3">
        <f t="shared" si="59"/>
        <v>520.75400000000002</v>
      </c>
      <c r="R77" s="3">
        <f t="shared" si="59"/>
        <v>3776.4039999999995</v>
      </c>
      <c r="S77" s="3">
        <f t="shared" si="59"/>
        <v>298.25400000000002</v>
      </c>
    </row>
    <row r="78" spans="1:19" x14ac:dyDescent="0.25">
      <c r="A78">
        <v>2099</v>
      </c>
      <c r="B78" s="3">
        <f>0.2*B74+0.8*B79</f>
        <v>165.19800000000004</v>
      </c>
      <c r="C78" s="3">
        <f t="shared" ref="C78:S78" si="60">0.2*C74+0.8*C79</f>
        <v>53.346000000000004</v>
      </c>
      <c r="D78" s="3">
        <f t="shared" si="60"/>
        <v>651.76599999999996</v>
      </c>
      <c r="E78" s="3">
        <f t="shared" si="60"/>
        <v>1516.7160000000001</v>
      </c>
      <c r="F78" s="3">
        <f t="shared" si="60"/>
        <v>77.42</v>
      </c>
      <c r="G78" s="3">
        <f t="shared" si="60"/>
        <v>22.352</v>
      </c>
      <c r="H78" s="3">
        <f t="shared" si="60"/>
        <v>131.38</v>
      </c>
      <c r="I78" s="3">
        <f t="shared" si="60"/>
        <v>126.52800000000001</v>
      </c>
      <c r="J78" s="3">
        <f t="shared" si="60"/>
        <v>420.36</v>
      </c>
      <c r="K78" s="3">
        <f t="shared" si="60"/>
        <v>322.072</v>
      </c>
      <c r="L78" s="3">
        <f t="shared" si="60"/>
        <v>439.34400000000005</v>
      </c>
      <c r="M78" s="3">
        <f t="shared" si="60"/>
        <v>259.86</v>
      </c>
      <c r="N78" s="3">
        <f t="shared" si="60"/>
        <v>220.072</v>
      </c>
      <c r="O78" s="3">
        <f t="shared" si="60"/>
        <v>1106.2920000000001</v>
      </c>
      <c r="P78" s="3">
        <f t="shared" si="60"/>
        <v>72.588000000000008</v>
      </c>
      <c r="Q78" s="3">
        <f t="shared" si="60"/>
        <v>521.83199999999999</v>
      </c>
      <c r="R78" s="3">
        <f t="shared" si="60"/>
        <v>3791.7220000000002</v>
      </c>
      <c r="S78" s="3">
        <f t="shared" si="60"/>
        <v>297.16199999999998</v>
      </c>
    </row>
    <row r="79" spans="1:19" x14ac:dyDescent="0.25">
      <c r="A79">
        <v>2100</v>
      </c>
      <c r="B79" s="3">
        <v>163.97</v>
      </c>
      <c r="C79" s="3">
        <v>53.52</v>
      </c>
      <c r="D79" s="3">
        <v>640.79</v>
      </c>
      <c r="E79" s="3">
        <v>1509.11</v>
      </c>
      <c r="F79" s="3">
        <v>77.040000000000006</v>
      </c>
      <c r="G79" s="3">
        <v>22.01</v>
      </c>
      <c r="H79" s="3">
        <v>130.63</v>
      </c>
      <c r="I79" s="3">
        <v>126.44</v>
      </c>
      <c r="J79" s="3">
        <v>421.01</v>
      </c>
      <c r="K79" s="3">
        <v>320.33</v>
      </c>
      <c r="L79" s="3">
        <v>438.18</v>
      </c>
      <c r="M79" s="3">
        <v>259.10000000000002</v>
      </c>
      <c r="N79" s="3">
        <v>218.67</v>
      </c>
      <c r="O79" s="3">
        <v>1105.69</v>
      </c>
      <c r="P79" s="3">
        <v>72.83</v>
      </c>
      <c r="Q79" s="3">
        <v>522.91</v>
      </c>
      <c r="R79" s="3">
        <v>3807.04</v>
      </c>
      <c r="S79" s="3">
        <v>296.07</v>
      </c>
    </row>
    <row r="80" spans="1:19" x14ac:dyDescent="0.25">
      <c r="A80">
        <v>2101</v>
      </c>
      <c r="B80" s="3">
        <f>0.8*B79+0.2*B84</f>
        <v>163.97000000000003</v>
      </c>
      <c r="C80" s="3">
        <f t="shared" ref="C80:S80" si="61">0.8*C79+0.2*C84</f>
        <v>53.52</v>
      </c>
      <c r="D80" s="3">
        <f t="shared" si="61"/>
        <v>640.79</v>
      </c>
      <c r="E80" s="3">
        <f t="shared" si="61"/>
        <v>1509.1100000000001</v>
      </c>
      <c r="F80" s="3">
        <f t="shared" si="61"/>
        <v>77.040000000000006</v>
      </c>
      <c r="G80" s="3">
        <f t="shared" si="61"/>
        <v>22.01</v>
      </c>
      <c r="H80" s="3">
        <f t="shared" si="61"/>
        <v>130.63</v>
      </c>
      <c r="I80" s="3">
        <f t="shared" si="61"/>
        <v>126.44</v>
      </c>
      <c r="J80" s="3">
        <f t="shared" si="61"/>
        <v>421.01</v>
      </c>
      <c r="K80" s="3">
        <f t="shared" si="61"/>
        <v>320.33000000000004</v>
      </c>
      <c r="L80" s="3">
        <f t="shared" si="61"/>
        <v>438.18000000000006</v>
      </c>
      <c r="M80" s="3">
        <f t="shared" si="61"/>
        <v>259.10000000000002</v>
      </c>
      <c r="N80" s="3">
        <f t="shared" si="61"/>
        <v>218.67000000000002</v>
      </c>
      <c r="O80" s="3">
        <f t="shared" si="61"/>
        <v>1105.69</v>
      </c>
      <c r="P80" s="3">
        <f t="shared" si="61"/>
        <v>72.83</v>
      </c>
      <c r="Q80" s="3">
        <f t="shared" si="61"/>
        <v>522.91</v>
      </c>
      <c r="R80" s="3">
        <f t="shared" si="61"/>
        <v>3807.04</v>
      </c>
      <c r="S80" s="3">
        <f t="shared" si="61"/>
        <v>296.07</v>
      </c>
    </row>
    <row r="81" spans="1:19" x14ac:dyDescent="0.25">
      <c r="A81">
        <v>2102</v>
      </c>
      <c r="B81" s="3">
        <f>0.6*B79+0.4*B84</f>
        <v>163.97</v>
      </c>
      <c r="C81" s="3">
        <f t="shared" ref="C81:S81" si="62">0.6*C79+0.4*C84</f>
        <v>53.52</v>
      </c>
      <c r="D81" s="3">
        <f t="shared" si="62"/>
        <v>640.79</v>
      </c>
      <c r="E81" s="3">
        <f t="shared" si="62"/>
        <v>1509.11</v>
      </c>
      <c r="F81" s="3">
        <f t="shared" si="62"/>
        <v>77.040000000000006</v>
      </c>
      <c r="G81" s="3">
        <f t="shared" si="62"/>
        <v>22.01</v>
      </c>
      <c r="H81" s="3">
        <f t="shared" si="62"/>
        <v>130.63</v>
      </c>
      <c r="I81" s="3">
        <f t="shared" si="62"/>
        <v>126.44</v>
      </c>
      <c r="J81" s="3">
        <f t="shared" si="62"/>
        <v>421.01</v>
      </c>
      <c r="K81" s="3">
        <f t="shared" si="62"/>
        <v>320.33</v>
      </c>
      <c r="L81" s="3">
        <f t="shared" si="62"/>
        <v>438.18000000000006</v>
      </c>
      <c r="M81" s="3">
        <f t="shared" si="62"/>
        <v>259.10000000000002</v>
      </c>
      <c r="N81" s="3">
        <f t="shared" si="62"/>
        <v>218.67000000000002</v>
      </c>
      <c r="O81" s="3">
        <f t="shared" si="62"/>
        <v>1105.69</v>
      </c>
      <c r="P81" s="3">
        <f t="shared" si="62"/>
        <v>72.83</v>
      </c>
      <c r="Q81" s="3">
        <f t="shared" si="62"/>
        <v>522.91</v>
      </c>
      <c r="R81" s="3">
        <f t="shared" si="62"/>
        <v>3807.04</v>
      </c>
      <c r="S81" s="3">
        <f t="shared" si="62"/>
        <v>296.07</v>
      </c>
    </row>
    <row r="82" spans="1:19" x14ac:dyDescent="0.25">
      <c r="A82">
        <v>2103</v>
      </c>
      <c r="B82" s="3">
        <f>0.4*B79+0.6*B84</f>
        <v>163.97</v>
      </c>
      <c r="C82" s="3">
        <f t="shared" ref="C82:S82" si="63">0.4*C79+0.6*C84</f>
        <v>53.52</v>
      </c>
      <c r="D82" s="3">
        <f t="shared" si="63"/>
        <v>640.79</v>
      </c>
      <c r="E82" s="3">
        <f t="shared" si="63"/>
        <v>1509.11</v>
      </c>
      <c r="F82" s="3">
        <f t="shared" si="63"/>
        <v>77.040000000000006</v>
      </c>
      <c r="G82" s="3">
        <f t="shared" si="63"/>
        <v>22.01</v>
      </c>
      <c r="H82" s="3">
        <f t="shared" si="63"/>
        <v>130.63</v>
      </c>
      <c r="I82" s="3">
        <f t="shared" si="63"/>
        <v>126.44</v>
      </c>
      <c r="J82" s="3">
        <f t="shared" si="63"/>
        <v>421.01</v>
      </c>
      <c r="K82" s="3">
        <f t="shared" si="63"/>
        <v>320.33</v>
      </c>
      <c r="L82" s="3">
        <f t="shared" si="63"/>
        <v>438.18000000000006</v>
      </c>
      <c r="M82" s="3">
        <f t="shared" si="63"/>
        <v>259.10000000000002</v>
      </c>
      <c r="N82" s="3">
        <f t="shared" si="63"/>
        <v>218.67000000000002</v>
      </c>
      <c r="O82" s="3">
        <f t="shared" si="63"/>
        <v>1105.69</v>
      </c>
      <c r="P82" s="3">
        <f t="shared" si="63"/>
        <v>72.83</v>
      </c>
      <c r="Q82" s="3">
        <f t="shared" si="63"/>
        <v>522.91</v>
      </c>
      <c r="R82" s="3">
        <f t="shared" si="63"/>
        <v>3807.04</v>
      </c>
      <c r="S82" s="3">
        <f t="shared" si="63"/>
        <v>296.07</v>
      </c>
    </row>
    <row r="83" spans="1:19" x14ac:dyDescent="0.25">
      <c r="A83">
        <v>2104</v>
      </c>
      <c r="B83" s="3">
        <f>0.2*B79+0.8*B84</f>
        <v>163.97000000000003</v>
      </c>
      <c r="C83" s="3">
        <f t="shared" ref="C83:S83" si="64">0.2*C79+0.8*C84</f>
        <v>53.52</v>
      </c>
      <c r="D83" s="3">
        <f t="shared" si="64"/>
        <v>640.79</v>
      </c>
      <c r="E83" s="3">
        <f t="shared" si="64"/>
        <v>1509.1100000000001</v>
      </c>
      <c r="F83" s="3">
        <f t="shared" si="64"/>
        <v>77.040000000000006</v>
      </c>
      <c r="G83" s="3">
        <f t="shared" si="64"/>
        <v>22.01</v>
      </c>
      <c r="H83" s="3">
        <f t="shared" si="64"/>
        <v>130.63</v>
      </c>
      <c r="I83" s="3">
        <f t="shared" si="64"/>
        <v>126.44</v>
      </c>
      <c r="J83" s="3">
        <f t="shared" si="64"/>
        <v>421.01</v>
      </c>
      <c r="K83" s="3">
        <f t="shared" si="64"/>
        <v>320.33000000000004</v>
      </c>
      <c r="L83" s="3">
        <f t="shared" si="64"/>
        <v>438.18000000000006</v>
      </c>
      <c r="M83" s="3">
        <f t="shared" si="64"/>
        <v>259.10000000000002</v>
      </c>
      <c r="N83" s="3">
        <f t="shared" si="64"/>
        <v>218.67000000000002</v>
      </c>
      <c r="O83" s="3">
        <f t="shared" si="64"/>
        <v>1105.69</v>
      </c>
      <c r="P83" s="3">
        <f t="shared" si="64"/>
        <v>72.83</v>
      </c>
      <c r="Q83" s="3">
        <f t="shared" si="64"/>
        <v>522.91</v>
      </c>
      <c r="R83" s="3">
        <f t="shared" si="64"/>
        <v>3807.04</v>
      </c>
      <c r="S83" s="3">
        <f t="shared" si="64"/>
        <v>296.07</v>
      </c>
    </row>
    <row r="84" spans="1:19" x14ac:dyDescent="0.25">
      <c r="A84">
        <v>2105</v>
      </c>
      <c r="B84" s="5">
        <f>B79</f>
        <v>163.97</v>
      </c>
      <c r="C84" s="5">
        <f>C79</f>
        <v>53.52</v>
      </c>
      <c r="D84" s="5">
        <f>D79</f>
        <v>640.79</v>
      </c>
      <c r="E84" s="5">
        <f>E79</f>
        <v>1509.11</v>
      </c>
      <c r="F84" s="5">
        <f>F79</f>
        <v>77.040000000000006</v>
      </c>
      <c r="G84" s="5">
        <f>G79</f>
        <v>22.01</v>
      </c>
      <c r="H84" s="5">
        <f>H79</f>
        <v>130.63</v>
      </c>
      <c r="I84" s="5">
        <f>I79</f>
        <v>126.44</v>
      </c>
      <c r="J84" s="5">
        <f>J79</f>
        <v>421.01</v>
      </c>
      <c r="K84" s="5">
        <f>K79</f>
        <v>320.33</v>
      </c>
      <c r="L84" s="5">
        <f>L79</f>
        <v>438.18</v>
      </c>
      <c r="M84" s="5">
        <f>M79</f>
        <v>259.10000000000002</v>
      </c>
      <c r="N84" s="5">
        <f>N79</f>
        <v>218.67</v>
      </c>
      <c r="O84" s="5">
        <f>O79</f>
        <v>1105.69</v>
      </c>
      <c r="P84" s="5">
        <f>P79</f>
        <v>72.83</v>
      </c>
      <c r="Q84" s="5">
        <f>Q79</f>
        <v>522.91</v>
      </c>
      <c r="R84" s="5">
        <f>R79</f>
        <v>3807.04</v>
      </c>
      <c r="S84" s="5">
        <f>S79</f>
        <v>296.07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parameters</vt:lpstr>
      <vt:lpstr>argdpgrrate</vt:lpstr>
      <vt:lpstr>popa_eppa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Henry Chen</dc:creator>
  <cp:lastModifiedBy>Henry Chen</cp:lastModifiedBy>
  <dcterms:created xsi:type="dcterms:W3CDTF">2026-08-03T15:52:10Z</dcterms:created>
  <dcterms:modified xsi:type="dcterms:W3CDTF">2026-10-04T16:12:49Z</dcterms:modified>
</cp:coreProperties>
</file>